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D9C07A9-742A-4970-A1DD-333E3AC41B72}" xr6:coauthVersionLast="47" xr6:coauthVersionMax="47" xr10:uidLastSave="{00000000-0000-0000-0000-000000000000}"/>
  <bookViews>
    <workbookView xWindow="-120" yWindow="-120" windowWidth="20730" windowHeight="11160" xr2:uid="{6B5FABC0-92E1-43AD-B4AB-A28A0E6A0AED}"/>
  </bookViews>
  <sheets>
    <sheet name="SHEET 1" sheetId="2" r:id="rId1"/>
  </sheets>
  <definedNames>
    <definedName name="ExternalData_1" localSheetId="0" hidden="1">'SHEET 1'!$A$1:$K$86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 a="1"/>
  <c r="L19" i="2"/>
  <c r="L30" i="2" a="1"/>
  <c r="L30" i="2"/>
  <c r="L22" i="2" a="1"/>
  <c r="L22" i="2"/>
  <c r="L29" i="2" a="1"/>
  <c r="L29" i="2"/>
  <c r="L27" i="2" a="1"/>
  <c r="L27" i="2"/>
  <c r="L24" i="2" a="1"/>
  <c r="L24" i="2"/>
  <c r="L23" i="2" a="1"/>
  <c r="L23" i="2"/>
  <c r="L21" i="2" a="1"/>
  <c r="L21" i="2"/>
  <c r="L2" i="2" a="1"/>
  <c r="L2" i="2"/>
  <c r="L3" i="2" a="1"/>
  <c r="L3" i="2"/>
  <c r="L5" i="2" a="1"/>
  <c r="L5" i="2"/>
  <c r="L4" i="2" a="1"/>
  <c r="L4" i="2"/>
  <c r="L7" i="2" a="1"/>
  <c r="L7" i="2"/>
  <c r="L6" i="2" a="1"/>
  <c r="L6" i="2"/>
  <c r="L8" i="2" a="1"/>
  <c r="L8" i="2"/>
  <c r="L38" i="2" a="1"/>
  <c r="L38" i="2"/>
  <c r="L40" i="2" a="1"/>
  <c r="L40" i="2"/>
  <c r="L41" i="2" a="1"/>
  <c r="L41" i="2"/>
  <c r="L39" i="2" a="1"/>
  <c r="L39" i="2"/>
  <c r="L45" i="2" a="1"/>
  <c r="L45" i="2"/>
  <c r="L43" i="2" a="1"/>
  <c r="L43" i="2"/>
  <c r="L49" i="2" a="1"/>
  <c r="L49" i="2"/>
  <c r="L56" i="2" a="1"/>
  <c r="L56" i="2"/>
  <c r="L47" i="2" a="1"/>
  <c r="L47" i="2"/>
  <c r="L42" i="2" a="1"/>
  <c r="L42" i="2"/>
  <c r="L46" i="2" a="1"/>
  <c r="L46" i="2"/>
  <c r="L44" i="2" a="1"/>
  <c r="L44" i="2"/>
  <c r="L51" i="2" a="1"/>
  <c r="L51" i="2"/>
  <c r="L64" i="2" a="1"/>
  <c r="L64" i="2"/>
  <c r="L60" i="2" a="1"/>
  <c r="L60" i="2"/>
  <c r="L59" i="2" a="1"/>
  <c r="L59" i="2"/>
  <c r="L74" i="2" a="1"/>
  <c r="L74" i="2"/>
  <c r="L57" i="2" a="1"/>
  <c r="L57" i="2"/>
  <c r="L58" i="2" a="1"/>
  <c r="L58" i="2"/>
  <c r="L62" i="2" a="1"/>
  <c r="L62" i="2"/>
  <c r="L66" i="2" a="1"/>
  <c r="L66" i="2"/>
  <c r="L37" i="2" a="1"/>
  <c r="L37" i="2"/>
  <c r="L52" i="2" a="1"/>
  <c r="L52" i="2"/>
  <c r="L35" i="2" a="1"/>
  <c r="L35" i="2"/>
  <c r="L36" i="2" a="1"/>
  <c r="L36" i="2"/>
  <c r="L50" i="2" a="1"/>
  <c r="L50" i="2"/>
  <c r="L70" i="2" a="1"/>
  <c r="L70" i="2"/>
  <c r="L48" i="2" a="1"/>
  <c r="L48" i="2"/>
  <c r="L86" i="2" a="1"/>
  <c r="L86" i="2"/>
  <c r="L71" i="2" a="1"/>
  <c r="L71" i="2"/>
  <c r="L68" i="2" a="1"/>
  <c r="L68" i="2"/>
  <c r="L53" i="2" a="1"/>
  <c r="L53" i="2"/>
  <c r="L85" i="2" a="1"/>
  <c r="L85" i="2"/>
  <c r="L55" i="2" a="1"/>
  <c r="L55" i="2"/>
  <c r="L82" i="2" a="1"/>
  <c r="L82" i="2"/>
  <c r="L54" i="2" a="1"/>
  <c r="L54" i="2"/>
  <c r="L77" i="2" a="1"/>
  <c r="L77" i="2"/>
  <c r="L79" i="2" a="1"/>
  <c r="L79" i="2"/>
  <c r="L75" i="2" a="1"/>
  <c r="L75" i="2"/>
  <c r="L83" i="2" a="1"/>
  <c r="L83" i="2"/>
  <c r="L63" i="2" a="1"/>
  <c r="L63" i="2"/>
  <c r="L84" i="2" a="1"/>
  <c r="L84" i="2"/>
  <c r="L80" i="2" a="1"/>
  <c r="L80" i="2"/>
  <c r="L61" i="2" a="1"/>
  <c r="L61" i="2"/>
  <c r="L65" i="2" a="1"/>
  <c r="L65" i="2"/>
  <c r="L72" i="2" a="1"/>
  <c r="L72" i="2"/>
  <c r="L67" i="2" a="1"/>
  <c r="L67" i="2"/>
  <c r="L76" i="2" a="1"/>
  <c r="L76" i="2"/>
  <c r="L73" i="2" a="1"/>
  <c r="L73" i="2"/>
  <c r="L81" i="2" a="1"/>
  <c r="L81" i="2"/>
  <c r="L34" i="2" a="1"/>
  <c r="L34" i="2"/>
  <c r="L10" i="2" a="1"/>
  <c r="L10" i="2"/>
  <c r="L69" i="2" a="1"/>
  <c r="L69" i="2"/>
  <c r="L31" i="2" a="1"/>
  <c r="L31" i="2"/>
  <c r="L11" i="2" a="1"/>
  <c r="L11" i="2"/>
  <c r="L33" i="2" a="1"/>
  <c r="L33" i="2"/>
  <c r="L32" i="2" a="1"/>
  <c r="L32" i="2"/>
  <c r="L78" i="2" a="1"/>
  <c r="L78" i="2"/>
  <c r="L9" i="2" a="1"/>
  <c r="L9" i="2"/>
  <c r="L25" i="2" a="1"/>
  <c r="L25" i="2"/>
  <c r="L26" i="2" a="1"/>
  <c r="L26" i="2"/>
  <c r="L12" i="2" a="1"/>
  <c r="L12" i="2"/>
  <c r="L28" i="2" a="1"/>
  <c r="L28" i="2"/>
  <c r="L15" i="2" a="1"/>
  <c r="L15" i="2"/>
  <c r="L17" i="2" a="1"/>
  <c r="L17" i="2"/>
  <c r="L14" i="2" a="1"/>
  <c r="L14" i="2"/>
  <c r="L18" i="2" a="1"/>
  <c r="L18" i="2"/>
  <c r="L13" i="2" a="1"/>
  <c r="L13" i="2"/>
  <c r="L16" i="2" a="1"/>
  <c r="L16" i="2"/>
  <c r="L20" i="2" a="1"/>
  <c r="L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D85E53-8FEF-40ED-9C61-6C31AF8AD46B}" keepAlive="1" name="استعلام - ‏‏دد" description="‏‏الاتصال بالاستعلام 'دد' في المصنف." type="5" refreshedVersion="8" background="1" saveData="1">
    <dbPr connection="Provider=Microsoft.Mashup.OleDb.1;Data Source=$Workbook$;Location=دد;Extended Properties=&quot;&quot;" command="SELECT * FROM [دد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<sst xmlns="http://schemas.openxmlformats.org/spreadsheetml/2006/main" count="182" uniqueCount="110">
  <si>
    <t>المدينة/المنطقة</t>
  </si>
  <si>
    <t>نوع العقار</t>
  </si>
  <si>
    <t>عدد العقارات</t>
  </si>
  <si>
    <t>المساحة الإجمالية (م²)</t>
  </si>
  <si>
    <t>متوسط السعر (ر.س/م²)</t>
  </si>
  <si>
    <t>أعلى سعر (ر.س/م²)</t>
  </si>
  <si>
    <t>أدنى سعر (ر.س/م²)</t>
  </si>
  <si>
    <t>هامش الربح الأول (%)</t>
  </si>
  <si>
    <t>هامش الربح الثاني (%)</t>
  </si>
  <si>
    <t>معدل التغير الشهري (%)</t>
  </si>
  <si>
    <t>معدل التغير السنوي (%)</t>
  </si>
  <si>
    <t>الرياض/الرمال</t>
  </si>
  <si>
    <t>أرض تجارية</t>
  </si>
  <si>
    <t>جدة/الريان</t>
  </si>
  <si>
    <t>شقة سكنية</t>
  </si>
  <si>
    <t>الدمام/الخالدية</t>
  </si>
  <si>
    <t>مستودع صناعي</t>
  </si>
  <si>
    <t>عرعر/المباركية</t>
  </si>
  <si>
    <t>أرض زراعية</t>
  </si>
  <si>
    <t>الرياض/حي الهدا</t>
  </si>
  <si>
    <t>أرض سكنية</t>
  </si>
  <si>
    <t>جدة/المروة</t>
  </si>
  <si>
    <t>المنطقة الشرقية/الجبيل</t>
  </si>
  <si>
    <t>مصنع إنتاج</t>
  </si>
  <si>
    <t>تبوك/الروضة</t>
  </si>
  <si>
    <t>الرياض/حي الندى</t>
  </si>
  <si>
    <t>فيلا فاخرة</t>
  </si>
  <si>
    <t>القصيم/الزلفي</t>
  </si>
  <si>
    <t>الرياض/الندى</t>
  </si>
  <si>
    <t>جدة/أبحر</t>
  </si>
  <si>
    <t>فيلا سكنية</t>
  </si>
  <si>
    <t>الدمام/طريق الملك فهد</t>
  </si>
  <si>
    <t>مكتب تجاري</t>
  </si>
  <si>
    <t>الرياض/الخير</t>
  </si>
  <si>
    <t>مكة/الشوقية</t>
  </si>
  <si>
    <t>المدينة المنورة/العزيزية</t>
  </si>
  <si>
    <t>الخرج/اليمامة</t>
  </si>
  <si>
    <t>حائل/النقرة</t>
  </si>
  <si>
    <t>الرياض/المعذر</t>
  </si>
  <si>
    <t>جدة/السامر</t>
  </si>
  <si>
    <t>الدمام/حي الشاطئ</t>
  </si>
  <si>
    <t>الرياض/طويق</t>
  </si>
  <si>
    <t>جازان/حي المطار</t>
  </si>
  <si>
    <t>القصيم/بريدة</t>
  </si>
  <si>
    <t>الجبيل/المنطقة الصناعية</t>
  </si>
  <si>
    <t>أرض صناعية</t>
  </si>
  <si>
    <t>الرياض/العقيق</t>
  </si>
  <si>
    <t>جدة/الخالدية</t>
  </si>
  <si>
    <t>الرياض/النرجس</t>
  </si>
  <si>
    <t>الدمام/الفيصلية</t>
  </si>
  <si>
    <t>مكة/الشرائع</t>
  </si>
  <si>
    <t>المدينة المنورة/قباء</t>
  </si>
  <si>
    <t>دور سكني</t>
  </si>
  <si>
    <t>الرياض/الفيحاء</t>
  </si>
  <si>
    <t>الخرج/الروابي</t>
  </si>
  <si>
    <t>الرياض/القدس</t>
  </si>
  <si>
    <t>جدة/الربوة</t>
  </si>
  <si>
    <t>الدمام/حي الجامعيين</t>
  </si>
  <si>
    <t>الرياض/طريق الملك عبدالعزيز</t>
  </si>
  <si>
    <t>تبوك/الخالدية</t>
  </si>
  <si>
    <t>القصيم/عنيزة</t>
  </si>
  <si>
    <t>الجبيل/الشرقية</t>
  </si>
  <si>
    <t>الرياض/الياسمين</t>
  </si>
  <si>
    <t>جدة/الشاطئ</t>
  </si>
  <si>
    <t>الدمام/المرجان</t>
  </si>
  <si>
    <t>الرياض/الصحافة</t>
  </si>
  <si>
    <t>نجران/الفيصلية</t>
  </si>
  <si>
    <t>القصيم/الرس</t>
  </si>
  <si>
    <t>الرياض/البديعة</t>
  </si>
  <si>
    <t>جدة/الصفا</t>
  </si>
  <si>
    <t>الخرج/صناعية</t>
  </si>
  <si>
    <t>حائل/الوطن</t>
  </si>
  <si>
    <t>الرياض/العروبة</t>
  </si>
  <si>
    <t>جدة/الرحاب</t>
  </si>
  <si>
    <t>الدمام/حي القادسية</t>
  </si>
  <si>
    <t>الرياض/القيروان</t>
  </si>
  <si>
    <t>مكة/العوالي</t>
  </si>
  <si>
    <t>المدينة المنورة/الزاهر</t>
  </si>
  <si>
    <t>الخرج/الصحراء</t>
  </si>
  <si>
    <t>تبوك/المروج</t>
  </si>
  <si>
    <t>الرياض/الغدير</t>
  </si>
  <si>
    <t>جدة/الزهراء</t>
  </si>
  <si>
    <t>الدمام/الندى</t>
  </si>
  <si>
    <t>الرياض/الواحة</t>
  </si>
  <si>
    <t>مكة/بطحاء قريش</t>
  </si>
  <si>
    <t>المدينة المنورة/بني معاوية</t>
  </si>
  <si>
    <t>الجبيل/التحلية</t>
  </si>
  <si>
    <t>الرياض/الربيع</t>
  </si>
  <si>
    <t>جدة/السلامة</t>
  </si>
  <si>
    <t>الدمام/الدانة</t>
  </si>
  <si>
    <t>الرياض/الندوة</t>
  </si>
  <si>
    <t>نجران/العريسة</t>
  </si>
  <si>
    <t>القصيم/البكيرية</t>
  </si>
  <si>
    <t>حائل/الخماشية</t>
  </si>
  <si>
    <t>الرياض/المصيف</t>
  </si>
  <si>
    <t>جدة/الفيحاء</t>
  </si>
  <si>
    <t>الدمام/الشعلة</t>
  </si>
  <si>
    <t>الرياض/القادسية</t>
  </si>
  <si>
    <t>مكة/الرصيفة</t>
  </si>
  <si>
    <t>تبوك/الورود</t>
  </si>
  <si>
    <t>القصيم/البدايع</t>
  </si>
  <si>
    <t>الجبيل/الفناتير</t>
  </si>
  <si>
    <t>الرياض/اليرموك</t>
  </si>
  <si>
    <t>جدة/المنار</t>
  </si>
  <si>
    <t>الدمام/غرب الدمام</t>
  </si>
  <si>
    <t>الرياض/العارض</t>
  </si>
  <si>
    <t xml:space="preserve">فئة العقار </t>
  </si>
  <si>
    <t>عمائر تجارية</t>
  </si>
  <si>
    <t>معرض تجاري</t>
  </si>
  <si>
    <t>الرياض/النخيل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</si>
</sst>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720D23-1AC6-43AB-B4C8-0609488CE3B0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المدينة/المنطقة" tableColumnId="1"/>
      <queryTableField id="2" name="نوع العقار" tableColumnId="2"/>
      <queryTableField id="3" name="عدد العقارات" tableColumnId="3"/>
      <queryTableField id="4" name="المساحة الإجمالية (م²)" tableColumnId="4"/>
      <queryTableField id="5" name="متوسط السعر (ر.س/م²)" tableColumnId="5"/>
      <queryTableField id="6" name="أعلى سعر (ر.س/م²)" tableColumnId="6"/>
      <queryTableField id="7" name="أدنى سعر (ر.س/م²)" tableColumnId="7"/>
      <queryTableField id="8" name="هامش الربح الأول (%)" tableColumnId="8"/>
      <queryTableField id="9" name="هامش الربح الثاني (%)" tableColumnId="9"/>
      <queryTableField id="10" name="معدل التغير الشهري (%)" tableColumnId="10"/>
      <queryTableField id="11" name="معدل التغير السنوي (%)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FCEB7-7182-40E9-A9F7-8C62D25E5373}" name="دد" displayName="دد" ref="A1:L86" tableType="queryTable" totalsRowShown="0">
  <autoFilter ref="A1:L86" xr:uid="{6D1FCEB7-7182-40E9-A9F7-8C62D25E5373}"/>
  <sortState xmlns:xlrd2="http://schemas.microsoft.com/office/spreadsheetml/2017/richdata2" ref="A2:L86">
    <sortCondition descending="1" ref="K1:K86"/>
  </sortState>
  <tableColumns count="12">
    <tableColumn id="1" xr3:uid="{555498BB-487D-46FC-AF1C-3B0A056A08F9}" uniqueName="1" name="المدينة/المنطقة" queryTableFieldId="1" dataDxfId="2"/>
    <tableColumn id="2" xr3:uid="{20CE5470-6266-48DD-A96D-71E2D7B6E78E}" uniqueName="2" name="نوع العقار" queryTableFieldId="2" dataDxfId="1"/>
    <tableColumn id="3" xr3:uid="{85A2D352-57CE-46E9-BE27-F80D8C68A8BA}" uniqueName="3" name="عدد العقارات" queryTableFieldId="3"/>
    <tableColumn id="4" xr3:uid="{0AC19294-183F-4FBF-92F1-671ECE241AA2}" uniqueName="4" name="المساحة الإجمالية (م²)" queryTableFieldId="4"/>
    <tableColumn id="5" xr3:uid="{38E97B16-B91A-48A3-B3D6-A09B6DD62F1C}" uniqueName="5" name="متوسط السعر (ر.س/م²)" queryTableFieldId="5"/>
    <tableColumn id="6" xr3:uid="{37F0A2A0-A062-4993-80B2-F9ED79955B13}" uniqueName="6" name="أعلى سعر (ر.س/م²)" queryTableFieldId="6"/>
    <tableColumn id="7" xr3:uid="{E164252F-6542-4B66-A832-B9BAC89452B2}" uniqueName="7" name="أدنى سعر (ر.س/م²)" queryTableFieldId="7"/>
    <tableColumn id="8" xr3:uid="{0CC28E6A-3059-4B8B-BE6A-22971745AB72}" uniqueName="8" name="هامش الربح الأول (%)" queryTableFieldId="8"/>
    <tableColumn id="9" xr3:uid="{E6CDFFBE-3464-4DC8-A613-B9CB3639379C}" uniqueName="9" name="هامش الربح الثاني (%)" queryTableFieldId="9"/>
    <tableColumn id="10" xr3:uid="{C00DCCF8-C845-45E1-B6F3-15563C3CBB82}" uniqueName="10" name="معدل التغير الشهري (%)" queryTableFieldId="10"/>
    <tableColumn id="11" xr3:uid="{44BA6435-E954-4D64-AC12-9BBF4A286FAC}" uniqueName="11" name="معدل التغير السنوي (%)" queryTableFieldId="11"/>
    <tableColumn id="12" xr3:uid="{32683392-80BC-443E-8F48-60BBBA8895FD}" uniqueName="12" name="فئة العقار " queryTableFieldId="12" dataDxfId="0">
      <calculatedColumnFormula array="1">_xlfn.IFS(
B2="أرض صناعية", "أصول صناعية",
B2="مصنع إنتاج", "أصول صناعية",
B2="مستودع صناعي", "أصول صناعية",
B2="أرض تجارية", "أصول تجارية",
B2="معرض تجاري", "أصول تجارية",
B2="عمائر تجارية", "أصول تجارية",
B2="مكتب تجاري", "أصول تجارية",
TRUE, B2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B028-80F6-480D-8635-56C6AE2A83BF}">
  <dimension ref="A1:L86"/>
  <sheetViews>
    <sheetView rightToLeft="1" tabSelected="1" zoomScale="98" zoomScaleNormal="98" workbookViewId="0">
      <selection activeCell="B2" sqref="A2:L2"/>
    </sheetView>
  </sheetViews>
  <sheetFormatPr defaultRowHeight="14.25" x14ac:dyDescent="0.2"/>
  <cols>
    <col min="1" max="1" width="19.625" bestFit="1" customWidth="1"/>
    <col min="2" max="2" width="14.375" bestFit="1" customWidth="1"/>
    <col min="3" max="3" width="10.875" bestFit="1" customWidth="1"/>
    <col min="4" max="4" width="17" bestFit="1" customWidth="1"/>
    <col min="5" max="5" width="17.625" bestFit="1" customWidth="1"/>
    <col min="6" max="6" width="15.375" bestFit="1" customWidth="1"/>
    <col min="7" max="7" width="15" bestFit="1" customWidth="1"/>
    <col min="8" max="8" width="17.5" bestFit="1" customWidth="1"/>
    <col min="9" max="9" width="18" bestFit="1" customWidth="1"/>
    <col min="10" max="10" width="18.625" bestFit="1" customWidth="1"/>
    <col min="11" max="11" width="18.375" bestFit="1" customWidth="1"/>
    <col min="12" max="12" width="18.375" customWidth="1"/>
    <col min="14" max="14" width="11.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106</v>
      </c>
    </row>
    <row r="2" spans="1:12" x14ac:dyDescent="0.2">
      <c r="A2" t="s">
        <v>109</v>
      </c>
      <c r="B2" t="s">
        <v>18</v>
      </c>
      <c r="C2">
        <v>9</v>
      </c>
      <c r="D2">
        <v>30000</v>
      </c>
      <c r="E2">
        <v>70</v>
      </c>
      <c r="F2">
        <v>50</v>
      </c>
      <c r="G2">
        <v>26</v>
      </c>
      <c r="H2">
        <v>26.8</v>
      </c>
      <c r="I2">
        <v>23.8</v>
      </c>
      <c r="J2">
        <v>0.69</v>
      </c>
      <c r="K2">
        <v>7.65</v>
      </c>
      <c r="L2" t="str" cm="1">
        <f t="array" ref="L2">_xlfn.IFS(
B2="أرض صناعية", "أصول صناعية",
B2="مصنع إنتاج", "أصول صناعية",
B2="مستودع صناعي", "أصول صناعية",
B2="أرض تجارية", "أصول تجارية",
B2="معرض تجاري", "أصول تجارية",
B2="عمائر تجارية", "أصول تجارية",
B2="مكتب تجاري", "أصول تجارية",
TRUE, B2
)</f>
        <v>أرض زراعية</v>
      </c>
    </row>
    <row r="3" spans="1:12" x14ac:dyDescent="0.2">
      <c r="A3" t="s">
        <v>54</v>
      </c>
      <c r="B3" t="s">
        <v>18</v>
      </c>
      <c r="C3">
        <v>12</v>
      </c>
      <c r="D3">
        <v>25000</v>
      </c>
      <c r="E3">
        <v>90</v>
      </c>
      <c r="F3">
        <v>58</v>
      </c>
      <c r="G3">
        <v>32</v>
      </c>
      <c r="H3">
        <v>27</v>
      </c>
      <c r="I3">
        <v>24</v>
      </c>
      <c r="J3">
        <v>0.67</v>
      </c>
      <c r="K3">
        <v>7.6</v>
      </c>
      <c r="L3" t="str" cm="1">
        <f t="array" ref="L3">_xlfn.IFS(
B3="أرض صناعية", "أصول صناعية",
B3="مصنع إنتاج", "أصول صناعية",
B3="مستودع صناعي", "أصول صناعية",
B3="أرض تجارية", "أصول تجارية",
B3="معرض تجاري", "أصول تجارية",
B3="عمائر تجارية", "أصول تجارية",
B3="مكتب تجاري", "أصول تجارية",
TRUE, B3
)</f>
        <v>أرض زراعية</v>
      </c>
    </row>
    <row r="4" spans="1:12" x14ac:dyDescent="0.2">
      <c r="A4" t="s">
        <v>71</v>
      </c>
      <c r="B4" t="s">
        <v>18</v>
      </c>
      <c r="C4">
        <v>10</v>
      </c>
      <c r="D4">
        <v>20000</v>
      </c>
      <c r="E4">
        <v>140</v>
      </c>
      <c r="F4">
        <v>57</v>
      </c>
      <c r="G4">
        <v>30</v>
      </c>
      <c r="H4">
        <v>25.5</v>
      </c>
      <c r="I4">
        <v>22.5</v>
      </c>
      <c r="J4">
        <v>0.66</v>
      </c>
      <c r="K4">
        <v>7.55</v>
      </c>
      <c r="L4" t="str" cm="1">
        <f t="array" ref="L4">_xlfn.IFS(
B4="أرض صناعية", "أصول صناعية",
B4="مصنع إنتاج", "أصول صناعية",
B4="مستودع صناعي", "أصول صناعية",
B4="أرض تجارية", "أصول تجارية",
B4="معرض تجاري", "أصول تجارية",
B4="عمائر تجارية", "أصول تجارية",
B4="مكتب تجاري", "أصول تجارية",
TRUE, B4
)</f>
        <v>أرض زراعية</v>
      </c>
    </row>
    <row r="5" spans="1:12" x14ac:dyDescent="0.2">
      <c r="A5" t="s">
        <v>27</v>
      </c>
      <c r="B5" t="s">
        <v>18</v>
      </c>
      <c r="C5">
        <v>8</v>
      </c>
      <c r="D5">
        <v>22000</v>
      </c>
      <c r="E5">
        <v>150</v>
      </c>
      <c r="F5">
        <v>60</v>
      </c>
      <c r="G5">
        <v>35</v>
      </c>
      <c r="H5">
        <v>26.5</v>
      </c>
      <c r="I5">
        <v>23.5</v>
      </c>
      <c r="J5">
        <v>0.68</v>
      </c>
      <c r="K5">
        <v>7.5</v>
      </c>
      <c r="L5" t="str" cm="1">
        <f t="array" ref="L5">_xlfn.IFS(
B5="أرض صناعية", "أصول صناعية",
B5="مصنع إنتاج", "أصول صناعية",
B5="مستودع صناعي", "أصول صناعية",
B5="أرض تجارية", "أصول تجارية",
B5="معرض تجاري", "أصول تجارية",
B5="عمائر تجارية", "أصول تجارية",
B5="مكتب تجاري", "أصول تجارية",
TRUE, B5
)</f>
        <v>أرض زراعية</v>
      </c>
    </row>
    <row r="6" spans="1:12" x14ac:dyDescent="0.2">
      <c r="A6" t="s">
        <v>37</v>
      </c>
      <c r="B6" t="s">
        <v>18</v>
      </c>
      <c r="C6">
        <v>10</v>
      </c>
      <c r="D6">
        <v>18000</v>
      </c>
      <c r="E6">
        <v>130</v>
      </c>
      <c r="F6">
        <v>55</v>
      </c>
      <c r="G6">
        <v>28</v>
      </c>
      <c r="H6">
        <v>26</v>
      </c>
      <c r="I6">
        <v>23</v>
      </c>
      <c r="J6">
        <v>0.64</v>
      </c>
      <c r="K6">
        <v>7.45</v>
      </c>
      <c r="L6" t="str" cm="1">
        <f t="array" ref="L6">_xlfn.IFS(
B6="أرض صناعية", "أصول صناعية",
B6="مصنع إنتاج", "أصول صناعية",
B6="مستودع صناعي", "أصول صناعية",
B6="أرض تجارية", "أصول تجارية",
B6="معرض تجاري", "أصول تجارية",
B6="عمائر تجارية", "أصول تجارية",
B6="مكتب تجاري", "أصول تجارية",
TRUE, B6
)</f>
        <v>أرض زراعية</v>
      </c>
    </row>
    <row r="7" spans="1:12" x14ac:dyDescent="0.2">
      <c r="A7" t="s">
        <v>100</v>
      </c>
      <c r="B7" t="s">
        <v>18</v>
      </c>
      <c r="C7">
        <v>7</v>
      </c>
      <c r="D7">
        <v>19000</v>
      </c>
      <c r="E7">
        <v>133</v>
      </c>
      <c r="F7">
        <v>62</v>
      </c>
      <c r="G7">
        <v>34</v>
      </c>
      <c r="H7">
        <v>26.3</v>
      </c>
      <c r="I7">
        <v>23.3</v>
      </c>
      <c r="J7">
        <v>0.65</v>
      </c>
      <c r="K7">
        <v>7.4</v>
      </c>
      <c r="L7" t="str" cm="1">
        <f t="array" ref="L7">_xlfn.IFS(
B7="أرض صناعية", "أصول صناعية",
B7="مصنع إنتاج", "أصول صناعية",
B7="مستودع صناعي", "أصول صناعية",
B7="أرض تجارية", "أصول تجارية",
B7="معرض تجاري", "أصول تجارية",
B7="عمائر تجارية", "أصول تجارية",
B7="مكتب تجاري", "أصول تجارية",
TRUE, B7
)</f>
        <v>أرض زراعية</v>
      </c>
    </row>
    <row r="8" spans="1:12" x14ac:dyDescent="0.2">
      <c r="A8" t="s">
        <v>17</v>
      </c>
      <c r="B8" t="s">
        <v>18</v>
      </c>
      <c r="C8">
        <v>11</v>
      </c>
      <c r="D8">
        <v>15920</v>
      </c>
      <c r="E8">
        <v>80</v>
      </c>
      <c r="F8">
        <v>48</v>
      </c>
      <c r="G8">
        <v>25</v>
      </c>
      <c r="H8">
        <v>25</v>
      </c>
      <c r="I8">
        <v>22</v>
      </c>
      <c r="J8">
        <v>0.65</v>
      </c>
      <c r="K8">
        <v>7.3</v>
      </c>
      <c r="L8" t="str" cm="1">
        <f t="array" ref="L8">_xlfn.IFS(
B8="أرض صناعية", "أصول صناعية",
B8="مصنع إنتاج", "أصول صناعية",
B8="مستودع صناعي", "أصول صناعية",
B8="أرض تجارية", "أصول تجارية",
B8="معرض تجاري", "أصول تجارية",
B8="عمائر تجارية", "أصول تجارية",
B8="مكتب تجاري", "أصول تجارية",
TRUE, B8
)</f>
        <v>أرض زراعية</v>
      </c>
    </row>
    <row r="9" spans="1:12" x14ac:dyDescent="0.2">
      <c r="A9" t="s">
        <v>63</v>
      </c>
      <c r="B9" t="s">
        <v>12</v>
      </c>
      <c r="C9">
        <v>5</v>
      </c>
      <c r="D9">
        <v>1200</v>
      </c>
      <c r="E9">
        <v>6500</v>
      </c>
      <c r="F9">
        <v>8500</v>
      </c>
      <c r="G9">
        <v>5300</v>
      </c>
      <c r="H9">
        <v>33</v>
      </c>
      <c r="I9">
        <v>18.5</v>
      </c>
      <c r="J9">
        <v>0.63</v>
      </c>
      <c r="K9">
        <v>7.15</v>
      </c>
      <c r="L9" t="str" cm="1">
        <f t="array" ref="L9">_xlfn.IFS(
B9="أرض صناعية", "أصول صناعية",
B9="مصنع إنتاج", "أصول صناعية",
B9="مستودع صناعي", "أصول صناعية",
B9="أرض تجارية", "أصول تجارية",
B9="معرض تجاري", "أصول تجارية",
B9="عمائر تجارية", "أصول تجارية",
B9="مكتب تجاري", "أصول تجارية",
TRUE, B9
)</f>
        <v>أصول تجارية</v>
      </c>
    </row>
    <row r="10" spans="1:12" x14ac:dyDescent="0.2">
      <c r="A10" t="s">
        <v>80</v>
      </c>
      <c r="B10" t="s">
        <v>12</v>
      </c>
      <c r="C10">
        <v>6</v>
      </c>
      <c r="D10">
        <v>1550</v>
      </c>
      <c r="E10">
        <v>6800</v>
      </c>
      <c r="F10">
        <v>8900</v>
      </c>
      <c r="G10">
        <v>5600</v>
      </c>
      <c r="H10">
        <v>32.799999999999997</v>
      </c>
      <c r="I10">
        <v>18.2</v>
      </c>
      <c r="J10">
        <v>0.62</v>
      </c>
      <c r="K10">
        <v>7.1</v>
      </c>
      <c r="L10" t="str" cm="1">
        <f t="array" ref="L10">_xlfn.IFS(
B10="أرض صناعية", "أصول صناعية",
B10="مصنع إنتاج", "أصول صناعية",
B10="مستودع صناعي", "أصول صناعية",
B10="أرض تجارية", "أصول تجارية",
B10="معرض تجاري", "أصول تجارية",
B10="عمائر تجارية", "أصول تجارية",
B10="مكتب تجاري", "أصول تجارية",
TRUE, B10
)</f>
        <v>أصول تجارية</v>
      </c>
    </row>
    <row r="11" spans="1:12" x14ac:dyDescent="0.2">
      <c r="A11" t="s">
        <v>11</v>
      </c>
      <c r="B11" t="s">
        <v>12</v>
      </c>
      <c r="C11">
        <v>7</v>
      </c>
      <c r="D11">
        <v>1408</v>
      </c>
      <c r="E11">
        <v>6734</v>
      </c>
      <c r="F11">
        <v>8800</v>
      </c>
      <c r="G11">
        <v>5500</v>
      </c>
      <c r="H11">
        <v>32.5</v>
      </c>
      <c r="I11">
        <v>18</v>
      </c>
      <c r="J11">
        <v>0.61</v>
      </c>
      <c r="K11">
        <v>7.05</v>
      </c>
      <c r="L11" t="str" cm="1">
        <f t="array" ref="L11">_xlfn.IFS(
B11="أرض صناعية", "أصول صناعية",
B11="مصنع إنتاج", "أصول صناعية",
B11="مستودع صناعي", "أصول صناعية",
B11="أرض تجارية", "أصول تجارية",
B11="معرض تجاري", "أصول تجارية",
B11="عمائر تجارية", "أصول تجارية",
B11="مكتب تجاري", "أصول تجارية",
TRUE, B11
)</f>
        <v>أصول تجارية</v>
      </c>
    </row>
    <row r="12" spans="1:12" x14ac:dyDescent="0.2">
      <c r="A12" t="s">
        <v>89</v>
      </c>
      <c r="B12" t="s">
        <v>12</v>
      </c>
      <c r="C12">
        <v>5</v>
      </c>
      <c r="D12">
        <v>1000</v>
      </c>
      <c r="E12">
        <v>5200</v>
      </c>
      <c r="F12">
        <v>6800</v>
      </c>
      <c r="G12">
        <v>4500</v>
      </c>
      <c r="H12">
        <v>32</v>
      </c>
      <c r="I12">
        <v>17.5</v>
      </c>
      <c r="J12">
        <v>0.6</v>
      </c>
      <c r="K12">
        <v>6.9</v>
      </c>
      <c r="L12" t="str" cm="1">
        <f t="array" ref="L12">_xlfn.IFS(
B12="أرض صناعية", "أصول صناعية",
B12="مصنع إنتاج", "أصول صناعية",
B12="مستودع صناعي", "أصول صناعية",
B12="أرض تجارية", "أصول تجارية",
B12="معرض تجاري", "أصول تجارية",
B12="عمائر تجارية", "أصول تجارية",
B12="مكتب تجاري", "أصول تجارية",
TRUE, B12
)</f>
        <v>أصول تجارية</v>
      </c>
    </row>
    <row r="13" spans="1:12" x14ac:dyDescent="0.2">
      <c r="A13" t="s">
        <v>58</v>
      </c>
      <c r="B13" t="s">
        <v>32</v>
      </c>
      <c r="C13">
        <v>6</v>
      </c>
      <c r="D13">
        <v>750</v>
      </c>
      <c r="E13">
        <v>8500</v>
      </c>
      <c r="F13">
        <v>7800</v>
      </c>
      <c r="G13">
        <v>5000</v>
      </c>
      <c r="H13">
        <v>24</v>
      </c>
      <c r="I13">
        <v>14</v>
      </c>
      <c r="J13">
        <v>0.57999999999999996</v>
      </c>
      <c r="K13">
        <v>6.5</v>
      </c>
      <c r="L13" t="str" cm="1">
        <f t="array" ref="L13">_xlfn.IFS(
B13="أرض صناعية", "أصول صناعية",
B13="مصنع إنتاج", "أصول صناعية",
B13="مستودع صناعي", "أصول صناعية",
B13="أرض تجارية", "أصول تجارية",
B13="معرض تجاري", "أصول تجارية",
B13="عمائر تجارية", "أصول تجارية",
B13="مكتب تجاري", "أصول تجارية",
TRUE, B13
)</f>
        <v>أصول تجارية</v>
      </c>
    </row>
    <row r="14" spans="1:12" x14ac:dyDescent="0.2">
      <c r="A14" t="s">
        <v>83</v>
      </c>
      <c r="B14" t="s">
        <v>32</v>
      </c>
      <c r="C14">
        <v>7</v>
      </c>
      <c r="D14">
        <v>850</v>
      </c>
      <c r="E14">
        <v>6000</v>
      </c>
      <c r="F14">
        <v>7500</v>
      </c>
      <c r="G14">
        <v>4900</v>
      </c>
      <c r="H14">
        <v>23.5</v>
      </c>
      <c r="I14">
        <v>13.7</v>
      </c>
      <c r="J14">
        <v>0.56000000000000005</v>
      </c>
      <c r="K14">
        <v>6.3</v>
      </c>
      <c r="L14" t="str" cm="1">
        <f t="array" ref="L14">_xlfn.IFS(
B14="أرض صناعية", "أصول صناعية",
B14="مصنع إنتاج", "أصول صناعية",
B14="مستودع صناعي", "أصول صناعية",
B14="أرض تجارية", "أصول تجارية",
B14="معرض تجاري", "أصول تجارية",
B14="عمائر تجارية", "أصول تجارية",
B14="مكتب تجاري", "أصول تجارية",
TRUE, B14
)</f>
        <v>أصول تجارية</v>
      </c>
    </row>
    <row r="15" spans="1:12" x14ac:dyDescent="0.2">
      <c r="A15" t="s">
        <v>46</v>
      </c>
      <c r="B15" t="s">
        <v>32</v>
      </c>
      <c r="C15">
        <v>8</v>
      </c>
      <c r="D15">
        <v>950</v>
      </c>
      <c r="E15">
        <v>8000</v>
      </c>
      <c r="F15">
        <v>7000</v>
      </c>
      <c r="G15">
        <v>4800</v>
      </c>
      <c r="H15">
        <v>23</v>
      </c>
      <c r="I15">
        <v>13.5</v>
      </c>
      <c r="J15">
        <v>0.55000000000000004</v>
      </c>
      <c r="K15">
        <v>6.1</v>
      </c>
      <c r="L15" t="str" cm="1">
        <f t="array" ref="L15">_xlfn.IFS(
B15="أرض صناعية", "أصول صناعية",
B15="مصنع إنتاج", "أصول صناعية",
B15="مستودع صناعي", "أصول صناعية",
B15="أرض تجارية", "أصول تجارية",
B15="معرض تجاري", "أصول تجارية",
B15="عمائر تجارية", "أصول تجارية",
B15="مكتب تجاري", "أصول تجارية",
TRUE, B15
)</f>
        <v>أصول تجارية</v>
      </c>
    </row>
    <row r="16" spans="1:12" x14ac:dyDescent="0.2">
      <c r="A16" t="s">
        <v>101</v>
      </c>
      <c r="B16" t="s">
        <v>32</v>
      </c>
      <c r="C16">
        <v>5</v>
      </c>
      <c r="D16">
        <v>700</v>
      </c>
      <c r="E16">
        <v>6600</v>
      </c>
      <c r="F16">
        <v>6800</v>
      </c>
      <c r="G16">
        <v>4600</v>
      </c>
      <c r="H16">
        <v>22.8</v>
      </c>
      <c r="I16">
        <v>13.3</v>
      </c>
      <c r="J16">
        <v>0.54</v>
      </c>
      <c r="K16">
        <v>6</v>
      </c>
      <c r="L16" t="str" cm="1">
        <f t="array" ref="L16">_xlfn.IFS(
B16="أرض صناعية", "أصول صناعية",
B16="مصنع إنتاج", "أصول صناعية",
B16="مستودع صناعي", "أصول صناعية",
B16="أرض تجارية", "أصول تجارية",
B16="معرض تجاري", "أصول تجارية",
B16="عمائر تجارية", "أصول تجارية",
B16="مكتب تجاري", "أصول تجارية",
TRUE, B16
)</f>
        <v>أصول تجارية</v>
      </c>
    </row>
    <row r="17" spans="1:12" x14ac:dyDescent="0.2">
      <c r="A17" t="s">
        <v>74</v>
      </c>
      <c r="B17" t="s">
        <v>32</v>
      </c>
      <c r="C17">
        <v>5</v>
      </c>
      <c r="D17">
        <v>900</v>
      </c>
      <c r="E17">
        <v>5000</v>
      </c>
      <c r="F17">
        <v>6400</v>
      </c>
      <c r="G17">
        <v>4400</v>
      </c>
      <c r="H17">
        <v>22.5</v>
      </c>
      <c r="I17">
        <v>12.7</v>
      </c>
      <c r="J17">
        <v>0.52</v>
      </c>
      <c r="K17">
        <v>5.7</v>
      </c>
      <c r="L17" t="str" cm="1">
        <f t="array" ref="L17">_xlfn.IFS(
B17="أرض صناعية", "أصول صناعية",
B17="مصنع إنتاج", "أصول صناعية",
B17="مستودع صناعي", "أصول صناعية",
B17="أرض تجارية", "أصول تجارية",
B17="معرض تجاري", "أصول تجارية",
B17="عمائر تجارية", "أصول تجارية",
B17="مكتب تجاري", "أصول تجارية",
TRUE, B17
)</f>
        <v>أصول تجارية</v>
      </c>
    </row>
    <row r="18" spans="1:12" x14ac:dyDescent="0.2">
      <c r="A18" t="s">
        <v>31</v>
      </c>
      <c r="B18" t="s">
        <v>32</v>
      </c>
      <c r="C18">
        <v>5</v>
      </c>
      <c r="D18">
        <v>800</v>
      </c>
      <c r="E18">
        <v>5100</v>
      </c>
      <c r="F18">
        <v>6500</v>
      </c>
      <c r="G18">
        <v>4500</v>
      </c>
      <c r="H18">
        <v>22</v>
      </c>
      <c r="I18">
        <v>12.5</v>
      </c>
      <c r="J18">
        <v>0.5</v>
      </c>
      <c r="K18">
        <v>5.5</v>
      </c>
      <c r="L18" t="str" cm="1">
        <f t="array" ref="L18">_xlfn.IFS(
B18="أرض صناعية", "أصول صناعية",
B18="مصنع إنتاج", "أصول صناعية",
B18="مستودع صناعي", "أصول صناعية",
B18="أرض تجارية", "أصول تجارية",
B18="معرض تجاري", "أصول تجارية",
B18="عمائر تجارية", "أصول تجارية",
B18="مكتب تجاري", "أصول تجارية",
TRUE, B18
)</f>
        <v>أصول تجارية</v>
      </c>
    </row>
    <row r="19" spans="1:12" x14ac:dyDescent="0.2">
      <c r="A19" t="s">
        <v>86</v>
      </c>
      <c r="B19" t="s">
        <v>45</v>
      </c>
      <c r="C19">
        <v>3</v>
      </c>
      <c r="D19">
        <v>140000</v>
      </c>
      <c r="E19">
        <v>2340</v>
      </c>
      <c r="F19">
        <v>1750</v>
      </c>
      <c r="G19">
        <v>1050</v>
      </c>
      <c r="H19">
        <v>34.5</v>
      </c>
      <c r="I19">
        <v>16.2</v>
      </c>
      <c r="J19">
        <v>0.46</v>
      </c>
      <c r="K19">
        <v>5.4</v>
      </c>
      <c r="L19" t="str" cm="1">
        <f t="array" ref="L19">_xlfn.IFS(
B19="أرض صناعية", "أصول صناعية",
B19="مصنع إنتاج", "أصول صناعية",
B19="مستودع صناعي", "أصول صناعية",
B19="أرض تجارية", "أصول تجارية",
B19="معرض تجاري", "أصول تجارية",
B19="عمائر تجارية", "أصول تجارية",
B19="مكتب تجاري", "أصول تجارية",
TRUE, B19
)</f>
        <v>أصول صناعية</v>
      </c>
    </row>
    <row r="20" spans="1:12" x14ac:dyDescent="0.2">
      <c r="A20" t="s">
        <v>44</v>
      </c>
      <c r="B20" t="s">
        <v>45</v>
      </c>
      <c r="C20">
        <v>3</v>
      </c>
      <c r="D20">
        <v>150000</v>
      </c>
      <c r="E20">
        <v>2450</v>
      </c>
      <c r="F20">
        <v>1700</v>
      </c>
      <c r="G20">
        <v>1000</v>
      </c>
      <c r="H20">
        <v>35</v>
      </c>
      <c r="I20">
        <v>16</v>
      </c>
      <c r="J20">
        <v>0.45</v>
      </c>
      <c r="K20">
        <v>5.3</v>
      </c>
      <c r="L20" t="str" cm="1">
        <f t="array" ref="L20">_xlfn.IFS(
B20="أرض صناعية", "أصول صناعية",
B20="مصنع إنتاج", "أصول صناعية",
B20="مستودع صناعي", "أصول صناعية",
B20="أرض تجارية", "أصول تجارية",
B20="معرض تجاري", "أصول تجارية",
B20="عمائر تجارية", "أصول تجارية",
B20="مكتب تجاري", "أصول تجارية",
TRUE, B20
)</f>
        <v>أصول صناعية</v>
      </c>
    </row>
    <row r="21" spans="1:12" x14ac:dyDescent="0.2">
      <c r="A21" t="s">
        <v>15</v>
      </c>
      <c r="B21" t="s">
        <v>16</v>
      </c>
      <c r="C21">
        <v>4</v>
      </c>
      <c r="D21">
        <v>55000</v>
      </c>
      <c r="E21">
        <v>1850</v>
      </c>
      <c r="F21">
        <v>2600</v>
      </c>
      <c r="G21">
        <v>1400</v>
      </c>
      <c r="H21">
        <v>28</v>
      </c>
      <c r="I21">
        <v>14.5</v>
      </c>
      <c r="J21">
        <v>0.38</v>
      </c>
      <c r="K21">
        <v>4.8</v>
      </c>
      <c r="L21" t="str" cm="1">
        <f t="array" ref="L21">_xlfn.IFS(
B21="أرض صناعية", "أصول صناعية",
B21="مصنع إنتاج", "أصول صناعية",
B21="مستودع صناعي", "أصول صناعية",
B21="أرض تجارية", "أصول تجارية",
B21="معرض تجاري", "أصول تجارية",
B21="عمائر تجارية", "أصول تجارية",
B21="مكتب تجاري", "أصول تجارية",
TRUE, B21
)</f>
        <v>أصول صناعية</v>
      </c>
    </row>
    <row r="22" spans="1:12" x14ac:dyDescent="0.2">
      <c r="A22" t="s">
        <v>70</v>
      </c>
      <c r="B22" t="s">
        <v>23</v>
      </c>
      <c r="C22">
        <v>2</v>
      </c>
      <c r="D22">
        <v>110000</v>
      </c>
      <c r="E22">
        <v>1260</v>
      </c>
      <c r="F22">
        <v>1350</v>
      </c>
      <c r="G22">
        <v>800</v>
      </c>
      <c r="H22">
        <v>31</v>
      </c>
      <c r="I22">
        <v>15.8</v>
      </c>
      <c r="J22">
        <v>0.39</v>
      </c>
      <c r="K22">
        <v>4.75</v>
      </c>
      <c r="L22" t="str" cm="1">
        <f t="array" ref="L22">_xlfn.IFS(
B22="أرض صناعية", "أصول صناعية",
B22="مصنع إنتاج", "أصول صناعية",
B22="مستودع صناعي", "أصول صناعية",
B22="أرض تجارية", "أصول تجارية",
B22="معرض تجاري", "أصول تجارية",
B22="عمائر تجارية", "أصول تجارية",
B22="مكتب تجاري", "أصول تجارية",
TRUE, B22
)</f>
        <v>أصول صناعية</v>
      </c>
    </row>
    <row r="23" spans="1:12" x14ac:dyDescent="0.2">
      <c r="A23" t="s">
        <v>95</v>
      </c>
      <c r="B23" t="s">
        <v>16</v>
      </c>
      <c r="C23">
        <v>3</v>
      </c>
      <c r="D23">
        <v>75000</v>
      </c>
      <c r="E23">
        <v>2300</v>
      </c>
      <c r="F23">
        <v>1350</v>
      </c>
      <c r="G23">
        <v>800</v>
      </c>
      <c r="H23">
        <v>29.5</v>
      </c>
      <c r="I23">
        <v>15.7</v>
      </c>
      <c r="J23">
        <v>0.38</v>
      </c>
      <c r="K23">
        <v>4.7</v>
      </c>
      <c r="L23" t="str" cm="1">
        <f t="array" ref="L23">_xlfn.IFS(
B23="أرض صناعية", "أصول صناعية",
B23="مصنع إنتاج", "أصول صناعية",
B23="مستودع صناعي", "أصول صناعية",
B23="أرض تجارية", "أصول تجارية",
B23="معرض تجاري", "أصول تجارية",
B23="عمائر تجارية", "أصول تجارية",
B23="مكتب تجاري", "أصول تجارية",
TRUE, B23
)</f>
        <v>أصول صناعية</v>
      </c>
    </row>
    <row r="24" spans="1:12" x14ac:dyDescent="0.2">
      <c r="A24" t="s">
        <v>36</v>
      </c>
      <c r="B24" t="s">
        <v>16</v>
      </c>
      <c r="C24">
        <v>3</v>
      </c>
      <c r="D24">
        <v>80000</v>
      </c>
      <c r="E24">
        <v>1500</v>
      </c>
      <c r="F24">
        <v>1300</v>
      </c>
      <c r="G24">
        <v>750</v>
      </c>
      <c r="H24">
        <v>29</v>
      </c>
      <c r="I24">
        <v>15.5</v>
      </c>
      <c r="J24">
        <v>0.37</v>
      </c>
      <c r="K24">
        <v>4.6500000000000004</v>
      </c>
      <c r="L24" t="str" cm="1">
        <f t="array" ref="L24">_xlfn.IFS(
B24="أرض صناعية", "أصول صناعية",
B24="مصنع إنتاج", "أصول صناعية",
B24="مستودع صناعي", "أصول صناعية",
B24="أرض تجارية", "أصول تجارية",
B24="معرض تجاري", "أصول تجارية",
B24="عمائر تجارية", "أصول تجارية",
B24="مكتب تجاري", "أصول تجارية",
TRUE, B24
)</f>
        <v>أصول صناعية</v>
      </c>
    </row>
    <row r="25" spans="1:12" x14ac:dyDescent="0.2">
      <c r="A25" t="s">
        <v>53</v>
      </c>
      <c r="B25" t="s">
        <v>108</v>
      </c>
      <c r="C25">
        <v>7</v>
      </c>
      <c r="D25">
        <v>1100</v>
      </c>
      <c r="E25">
        <v>8800</v>
      </c>
      <c r="F25">
        <v>4200</v>
      </c>
      <c r="G25">
        <v>3000</v>
      </c>
      <c r="H25">
        <v>21</v>
      </c>
      <c r="I25">
        <v>11.5</v>
      </c>
      <c r="J25">
        <v>0.41</v>
      </c>
      <c r="K25">
        <v>4.5999999999999996</v>
      </c>
      <c r="L25" t="str" cm="1">
        <f t="array" ref="L25">_xlfn.IFS(
B25="أرض صناعية", "أصول صناعية",
B25="مصنع إنتاج", "أصول صناعية",
B25="مستودع صناعي", "أصول صناعية",
B25="أرض تجارية", "أصول تجارية",
B25="معرض تجاري", "أصول تجارية",
B25="عمائر تجارية", "أصول تجارية",
B25="مكتب تجاري", "أصول تجارية",
TRUE, B25
)</f>
        <v>أصول تجارية</v>
      </c>
    </row>
    <row r="26" spans="1:12" x14ac:dyDescent="0.2">
      <c r="A26" t="s">
        <v>21</v>
      </c>
      <c r="B26" t="s">
        <v>108</v>
      </c>
      <c r="C26">
        <v>6</v>
      </c>
      <c r="D26">
        <v>1038</v>
      </c>
      <c r="E26">
        <v>5800</v>
      </c>
      <c r="F26">
        <v>3850</v>
      </c>
      <c r="G26">
        <v>2800</v>
      </c>
      <c r="H26">
        <v>20.5</v>
      </c>
      <c r="I26">
        <v>11</v>
      </c>
      <c r="J26">
        <v>0.4</v>
      </c>
      <c r="K26">
        <v>4.55</v>
      </c>
      <c r="L26" t="str" cm="1">
        <f t="array" ref="L26">_xlfn.IFS(
B26="أرض صناعية", "أصول صناعية",
B26="مصنع إنتاج", "أصول صناعية",
B26="مستودع صناعي", "أصول صناعية",
B26="أرض تجارية", "أصول تجارية",
B26="معرض تجاري", "أصول تجارية",
B26="عمائر تجارية", "أصول تجارية",
B26="مكتب تجاري", "أصول تجارية",
TRUE, B26
)</f>
        <v>أصول تجارية</v>
      </c>
    </row>
    <row r="27" spans="1:12" x14ac:dyDescent="0.2">
      <c r="A27" t="s">
        <v>61</v>
      </c>
      <c r="B27" t="s">
        <v>16</v>
      </c>
      <c r="C27">
        <v>4</v>
      </c>
      <c r="D27">
        <v>95000</v>
      </c>
      <c r="E27">
        <v>1800</v>
      </c>
      <c r="F27">
        <v>1450</v>
      </c>
      <c r="G27">
        <v>850</v>
      </c>
      <c r="H27">
        <v>28.5</v>
      </c>
      <c r="I27">
        <v>15.2</v>
      </c>
      <c r="J27">
        <v>0.36</v>
      </c>
      <c r="K27">
        <v>4.5</v>
      </c>
      <c r="L27" t="str" cm="1">
        <f t="array" ref="L27">_xlfn.IFS(
B27="أرض صناعية", "أصول صناعية",
B27="مصنع إنتاج", "أصول صناعية",
B27="مستودع صناعي", "أصول صناعية",
B27="أرض تجارية", "أصول تجارية",
B27="معرض تجاري", "أصول تجارية",
B27="عمائر تجارية", "أصول تجارية",
B27="مكتب تجاري", "أصول تجارية",
TRUE, B27
)</f>
        <v>أصول صناعية</v>
      </c>
    </row>
    <row r="28" spans="1:12" x14ac:dyDescent="0.2">
      <c r="A28" t="s">
        <v>79</v>
      </c>
      <c r="B28" t="s">
        <v>108</v>
      </c>
      <c r="C28">
        <v>6</v>
      </c>
      <c r="D28">
        <v>980</v>
      </c>
      <c r="E28">
        <v>3000</v>
      </c>
      <c r="F28">
        <v>3600</v>
      </c>
      <c r="G28">
        <v>2600</v>
      </c>
      <c r="H28">
        <v>20</v>
      </c>
      <c r="I28">
        <v>11.2</v>
      </c>
      <c r="J28">
        <v>0.39</v>
      </c>
      <c r="K28">
        <v>4.4000000000000004</v>
      </c>
      <c r="L28" t="str" cm="1">
        <f t="array" ref="L28">_xlfn.IFS(
B28="أرض صناعية", "أصول صناعية",
B28="مصنع إنتاج", "أصول صناعية",
B28="مستودع صناعي", "أصول صناعية",
B28="أرض تجارية", "أصول تجارية",
B28="معرض تجاري", "أصول تجارية",
B28="عمائر تجارية", "أصول تجارية",
B28="مكتب تجاري", "أصول تجارية",
TRUE, B28
)</f>
        <v>أصول تجارية</v>
      </c>
    </row>
    <row r="29" spans="1:12" x14ac:dyDescent="0.2">
      <c r="A29" t="s">
        <v>104</v>
      </c>
      <c r="B29" t="s">
        <v>23</v>
      </c>
      <c r="C29">
        <v>2</v>
      </c>
      <c r="D29">
        <v>100000</v>
      </c>
      <c r="E29">
        <v>1430</v>
      </c>
      <c r="F29">
        <v>1550</v>
      </c>
      <c r="G29">
        <v>950</v>
      </c>
      <c r="H29">
        <v>30.5</v>
      </c>
      <c r="I29">
        <v>15.4</v>
      </c>
      <c r="J29">
        <v>0.37</v>
      </c>
      <c r="K29">
        <v>4.3499999999999996</v>
      </c>
      <c r="L29" t="str" cm="1">
        <f t="array" ref="L29">_xlfn.IFS(
B29="أرض صناعية", "أصول صناعية",
B29="مصنع إنتاج", "أصول صناعية",
B29="مستودع صناعي", "أصول صناعية",
B29="أرض تجارية", "أصول تجارية",
B29="معرض تجاري", "أصول تجارية",
B29="عمائر تجارية", "أصول تجارية",
B29="مكتب تجاري", "أصول تجارية",
TRUE, B29
)</f>
        <v>أصول صناعية</v>
      </c>
    </row>
    <row r="30" spans="1:12" x14ac:dyDescent="0.2">
      <c r="A30" t="s">
        <v>22</v>
      </c>
      <c r="B30" t="s">
        <v>23</v>
      </c>
      <c r="C30">
        <v>2</v>
      </c>
      <c r="D30">
        <v>120000</v>
      </c>
      <c r="E30">
        <v>1700</v>
      </c>
      <c r="F30">
        <v>1500</v>
      </c>
      <c r="G30">
        <v>900</v>
      </c>
      <c r="H30">
        <v>30</v>
      </c>
      <c r="I30">
        <v>15</v>
      </c>
      <c r="J30">
        <v>0.35</v>
      </c>
      <c r="K30">
        <v>4.2</v>
      </c>
      <c r="L30" t="str" cm="1">
        <f t="array" ref="L30">_xlfn.IFS(
B30="أرض صناعية", "أصول صناعية",
B30="مصنع إنتاج", "أصول صناعية",
B30="مستودع صناعي", "أصول صناعية",
B30="أرض تجارية", "أصول تجارية",
B30="معرض تجاري", "أصول تجارية",
B30="عمائر تجارية", "أصول تجارية",
B30="مكتب تجاري", "أصول تجارية",
TRUE, B30
)</f>
        <v>أصول صناعية</v>
      </c>
    </row>
    <row r="31" spans="1:12" x14ac:dyDescent="0.2">
      <c r="A31" t="s">
        <v>40</v>
      </c>
      <c r="B31" t="s">
        <v>107</v>
      </c>
      <c r="C31">
        <v>5</v>
      </c>
      <c r="D31">
        <v>1500</v>
      </c>
      <c r="E31">
        <v>4800</v>
      </c>
      <c r="F31">
        <v>6000</v>
      </c>
      <c r="G31">
        <v>4000</v>
      </c>
      <c r="H31">
        <v>21.5</v>
      </c>
      <c r="I31">
        <v>13</v>
      </c>
      <c r="J31">
        <v>0.3</v>
      </c>
      <c r="K31">
        <v>3.8</v>
      </c>
      <c r="L31" t="str" cm="1">
        <f t="array" ref="L31">_xlfn.IFS(
B31="أرض صناعية", "أصول صناعية",
B31="مصنع إنتاج", "أصول صناعية",
B31="مستودع صناعي", "أصول صناعية",
B31="أرض تجارية", "أصول تجارية",
B31="معرض تجاري", "أصول تجارية",
B31="عمائر تجارية", "أصول تجارية",
B31="مكتب تجاري", "أصول تجارية",
TRUE, B31
)</f>
        <v>أصول تجارية</v>
      </c>
    </row>
    <row r="32" spans="1:12" x14ac:dyDescent="0.2">
      <c r="A32" t="s">
        <v>69</v>
      </c>
      <c r="B32" t="s">
        <v>107</v>
      </c>
      <c r="C32">
        <v>4</v>
      </c>
      <c r="D32">
        <v>1300</v>
      </c>
      <c r="E32">
        <v>6490</v>
      </c>
      <c r="F32">
        <v>5600</v>
      </c>
      <c r="G32">
        <v>3800</v>
      </c>
      <c r="H32">
        <v>21.8</v>
      </c>
      <c r="I32">
        <v>12.8</v>
      </c>
      <c r="J32">
        <v>0.28999999999999998</v>
      </c>
      <c r="K32">
        <v>3.7</v>
      </c>
      <c r="L32" t="str" cm="1">
        <f t="array" ref="L32">_xlfn.IFS(
B32="أرض صناعية", "أصول صناعية",
B32="مصنع إنتاج", "أصول صناعية",
B32="مستودع صناعي", "أصول صناعية",
B32="أرض تجارية", "أصول تجارية",
B32="معرض تجاري", "أصول تجارية",
B32="عمائر تجارية", "أصول تجارية",
B32="مكتب تجاري", "أصول تجارية",
TRUE, B32
)</f>
        <v>أصول تجارية</v>
      </c>
    </row>
    <row r="33" spans="1:12" x14ac:dyDescent="0.2">
      <c r="A33" t="s">
        <v>94</v>
      </c>
      <c r="B33" t="s">
        <v>107</v>
      </c>
      <c r="C33">
        <v>4</v>
      </c>
      <c r="D33">
        <v>1400</v>
      </c>
      <c r="E33">
        <v>8250</v>
      </c>
      <c r="F33">
        <v>5800</v>
      </c>
      <c r="G33">
        <v>3900</v>
      </c>
      <c r="H33">
        <v>21.2</v>
      </c>
      <c r="I33">
        <v>12.6</v>
      </c>
      <c r="J33">
        <v>0.28000000000000003</v>
      </c>
      <c r="K33">
        <v>3.6</v>
      </c>
      <c r="L33" t="str" cm="1">
        <f t="array" ref="L33">_xlfn.IFS(
B33="أرض صناعية", "أصول صناعية",
B33="مصنع إنتاج", "أصول صناعية",
B33="مستودع صناعي", "أصول صناعية",
B33="أرض تجارية", "أصول تجارية",
B33="معرض تجاري", "أصول تجارية",
B33="عمائر تجارية", "أصول تجارية",
B33="مكتب تجاري", "أصول تجارية",
TRUE, B33
)</f>
        <v>أصول تجارية</v>
      </c>
    </row>
    <row r="34" spans="1:12" x14ac:dyDescent="0.2">
      <c r="A34" t="s">
        <v>24</v>
      </c>
      <c r="B34" t="s">
        <v>14</v>
      </c>
      <c r="C34">
        <v>9</v>
      </c>
      <c r="D34">
        <v>1550</v>
      </c>
      <c r="E34">
        <v>2000</v>
      </c>
      <c r="F34">
        <v>2100</v>
      </c>
      <c r="G34">
        <v>1550</v>
      </c>
      <c r="H34">
        <v>11</v>
      </c>
      <c r="I34">
        <v>7.5</v>
      </c>
      <c r="J34">
        <v>0.15</v>
      </c>
      <c r="K34">
        <v>3.4</v>
      </c>
      <c r="L34" t="str" cm="1">
        <f t="array" ref="L34">_xlfn.IFS(
B34="أرض صناعية", "أصول صناعية",
B34="مصنع إنتاج", "أصول صناعية",
B34="مستودع صناعي", "أصول صناعية",
B34="أرض تجارية", "أصول تجارية",
B34="معرض تجاري", "أصول تجارية",
B34="عمائر تجارية", "أصول تجارية",
B34="مكتب تجاري", "أصول تجارية",
TRUE, B34
)</f>
        <v>شقة سكنية</v>
      </c>
    </row>
    <row r="35" spans="1:12" x14ac:dyDescent="0.2">
      <c r="A35" t="s">
        <v>66</v>
      </c>
      <c r="B35" t="s">
        <v>20</v>
      </c>
      <c r="C35">
        <v>12</v>
      </c>
      <c r="D35">
        <v>3300</v>
      </c>
      <c r="E35">
        <v>6000</v>
      </c>
      <c r="F35">
        <v>1200</v>
      </c>
      <c r="G35">
        <v>750</v>
      </c>
      <c r="H35">
        <v>10.199999999999999</v>
      </c>
      <c r="I35">
        <v>6.9</v>
      </c>
      <c r="J35">
        <v>0.11</v>
      </c>
      <c r="K35">
        <v>2.2000000000000002</v>
      </c>
      <c r="L35" t="str" cm="1">
        <f t="array" ref="L35">_xlfn.IFS(
B35="أرض صناعية", "أصول صناعية",
B35="مصنع إنتاج", "أصول صناعية",
B35="مستودع صناعي", "أصول صناعية",
B35="أرض تجارية", "أصول تجارية",
B35="معرض تجاري", "أصول تجارية",
B35="عمائر تجارية", "أصول تجارية",
B35="مكتب تجاري", "أصول تجارية",
TRUE, B35
)</f>
        <v>أرض سكنية</v>
      </c>
    </row>
    <row r="36" spans="1:12" x14ac:dyDescent="0.2">
      <c r="A36" t="s">
        <v>42</v>
      </c>
      <c r="B36" t="s">
        <v>20</v>
      </c>
      <c r="C36">
        <v>12</v>
      </c>
      <c r="D36">
        <v>3200</v>
      </c>
      <c r="E36">
        <v>5000</v>
      </c>
      <c r="F36">
        <v>1100</v>
      </c>
      <c r="G36">
        <v>700</v>
      </c>
      <c r="H36">
        <v>10.199999999999999</v>
      </c>
      <c r="I36">
        <v>6.8</v>
      </c>
      <c r="J36">
        <v>0.1</v>
      </c>
      <c r="K36">
        <v>2.1</v>
      </c>
      <c r="L36" t="str" cm="1">
        <f t="array" ref="L36">_xlfn.IFS(
B36="أرض صناعية", "أصول صناعية",
B36="مصنع إنتاج", "أصول صناعية",
B36="مستودع صناعي", "أصول صناعية",
B36="أرض تجارية", "أصول تجارية",
B36="معرض تجاري", "أصول تجارية",
B36="عمائر تجارية", "أصول تجارية",
B36="مكتب تجاري", "أصول تجارية",
TRUE, B36
)</f>
        <v>أرض سكنية</v>
      </c>
    </row>
    <row r="37" spans="1:12" x14ac:dyDescent="0.2">
      <c r="A37" t="s">
        <v>59</v>
      </c>
      <c r="B37" t="s">
        <v>20</v>
      </c>
      <c r="C37">
        <v>17</v>
      </c>
      <c r="D37">
        <v>3400</v>
      </c>
      <c r="E37">
        <v>5000</v>
      </c>
      <c r="F37">
        <v>1700</v>
      </c>
      <c r="G37">
        <v>1150</v>
      </c>
      <c r="H37">
        <v>10.6</v>
      </c>
      <c r="I37">
        <v>6.3</v>
      </c>
      <c r="J37">
        <v>0.05</v>
      </c>
      <c r="K37">
        <v>0.55000000000000004</v>
      </c>
      <c r="L37" t="str" cm="1">
        <f t="array" ref="L37">_xlfn.IFS(
B37="أرض صناعية", "أصول صناعية",
B37="مصنع إنتاج", "أصول صناعية",
B37="مستودع صناعي", "أصول صناعية",
B37="أرض تجارية", "أصول تجارية",
B37="معرض تجاري", "أصول تجارية",
B37="عمائر تجارية", "أصول تجارية",
B37="مكتب تجاري", "أصول تجارية",
TRUE, B37
)</f>
        <v>أرض سكنية</v>
      </c>
    </row>
    <row r="38" spans="1:12" x14ac:dyDescent="0.2">
      <c r="A38" t="s">
        <v>72</v>
      </c>
      <c r="B38" t="s">
        <v>26</v>
      </c>
      <c r="C38">
        <v>5</v>
      </c>
      <c r="D38">
        <v>8000</v>
      </c>
      <c r="E38">
        <v>7000</v>
      </c>
      <c r="F38">
        <v>5800</v>
      </c>
      <c r="G38">
        <v>4000</v>
      </c>
      <c r="H38">
        <v>17.5</v>
      </c>
      <c r="I38">
        <v>8.8000000000000007</v>
      </c>
      <c r="J38">
        <v>0.06</v>
      </c>
      <c r="K38">
        <v>0.48</v>
      </c>
      <c r="L38" t="str" cm="1">
        <f t="array" ref="L38">_xlfn.IFS(
B38="أرض صناعية", "أصول صناعية",
B38="مصنع إنتاج", "أصول صناعية",
B38="مستودع صناعي", "أصول صناعية",
B38="أرض تجارية", "أصول تجارية",
B38="معرض تجاري", "أصول تجارية",
B38="عمائر تجارية", "أصول تجارية",
B38="مكتب تجاري", "أصول تجارية",
TRUE, B38
)</f>
        <v>فيلا فاخرة</v>
      </c>
    </row>
    <row r="39" spans="1:12" x14ac:dyDescent="0.2">
      <c r="A39" t="s">
        <v>105</v>
      </c>
      <c r="B39" t="s">
        <v>30</v>
      </c>
      <c r="C39">
        <v>10</v>
      </c>
      <c r="D39">
        <v>6900</v>
      </c>
      <c r="E39">
        <v>6000</v>
      </c>
      <c r="F39">
        <v>4550</v>
      </c>
      <c r="G39">
        <v>3050</v>
      </c>
      <c r="H39">
        <v>16.600000000000001</v>
      </c>
      <c r="I39">
        <v>8.1</v>
      </c>
      <c r="J39">
        <v>0.04</v>
      </c>
      <c r="K39">
        <v>0.46</v>
      </c>
      <c r="L39" t="str" cm="1">
        <f t="array" ref="L39">_xlfn.IFS(
B39="أرض صناعية", "أصول صناعية",
B39="مصنع إنتاج", "أصول صناعية",
B39="مستودع صناعي", "أصول صناعية",
B39="أرض تجارية", "أصول تجارية",
B39="معرض تجاري", "أصول تجارية",
B39="عمائر تجارية", "أصول تجارية",
B39="مكتب تجاري", "أصول تجارية",
TRUE, B39
)</f>
        <v>فيلا سكنية</v>
      </c>
    </row>
    <row r="40" spans="1:12" x14ac:dyDescent="0.2">
      <c r="A40" t="s">
        <v>38</v>
      </c>
      <c r="B40" t="s">
        <v>26</v>
      </c>
      <c r="C40">
        <v>7</v>
      </c>
      <c r="D40">
        <v>7500</v>
      </c>
      <c r="E40">
        <v>7600</v>
      </c>
      <c r="F40">
        <v>5500</v>
      </c>
      <c r="G40">
        <v>3800</v>
      </c>
      <c r="H40">
        <v>17</v>
      </c>
      <c r="I40">
        <v>8.5</v>
      </c>
      <c r="J40">
        <v>0.05</v>
      </c>
      <c r="K40">
        <v>0.45</v>
      </c>
      <c r="L40" t="str" cm="1">
        <f t="array" ref="L40">_xlfn.IFS(
B40="أرض صناعية", "أصول صناعية",
B40="مصنع إنتاج", "أصول صناعية",
B40="مستودع صناعي", "أصول صناعية",
B40="أرض تجارية", "أصول تجارية",
B40="معرض تجاري", "أصول تجارية",
B40="عمائر تجارية", "أصول تجارية",
B40="مكتب تجاري", "أصول تجارية",
TRUE, B40
)</f>
        <v>فيلا فاخرة</v>
      </c>
    </row>
    <row r="41" spans="1:12" x14ac:dyDescent="0.2">
      <c r="A41" t="s">
        <v>62</v>
      </c>
      <c r="B41" t="s">
        <v>26</v>
      </c>
      <c r="C41">
        <v>9</v>
      </c>
      <c r="D41">
        <v>7000</v>
      </c>
      <c r="E41">
        <v>8700</v>
      </c>
      <c r="F41">
        <v>5000</v>
      </c>
      <c r="G41">
        <v>3300</v>
      </c>
      <c r="H41">
        <v>17.2</v>
      </c>
      <c r="I41">
        <v>8.4</v>
      </c>
      <c r="J41">
        <v>0.05</v>
      </c>
      <c r="K41">
        <v>0.44</v>
      </c>
      <c r="L41" t="str" cm="1">
        <f t="array" ref="L41">_xlfn.IFS(
B41="أرض صناعية", "أصول صناعية",
B41="مصنع إنتاج", "أصول صناعية",
B41="مستودع صناعي", "أصول صناعية",
B41="أرض تجارية", "أصول تجارية",
B41="معرض تجاري", "أصول تجارية",
B41="عمائر تجارية", "أصول تجارية",
B41="مكتب تجاري", "أصول تجارية",
TRUE, B41
)</f>
        <v>فيلا فاخرة</v>
      </c>
    </row>
    <row r="42" spans="1:12" x14ac:dyDescent="0.2">
      <c r="A42" t="s">
        <v>82</v>
      </c>
      <c r="B42" t="s">
        <v>30</v>
      </c>
      <c r="C42">
        <v>10</v>
      </c>
      <c r="D42">
        <v>5200</v>
      </c>
      <c r="E42">
        <v>3300</v>
      </c>
      <c r="F42">
        <v>3900</v>
      </c>
      <c r="G42">
        <v>2800</v>
      </c>
      <c r="H42">
        <v>15.8</v>
      </c>
      <c r="I42">
        <v>7.9</v>
      </c>
      <c r="J42">
        <v>0.04</v>
      </c>
      <c r="K42">
        <v>0.43</v>
      </c>
      <c r="L42" t="str" cm="1">
        <f t="array" ref="L42">_xlfn.IFS(
B42="أرض صناعية", "أصول صناعية",
B42="مصنع إنتاج", "أصول صناعية",
B42="مستودع صناعي", "أصول صناعية",
B42="أرض تجارية", "أصول تجارية",
B42="معرض تجاري", "أصول تجارية",
B42="عمائر تجارية", "أصول تجارية",
B42="مكتب تجاري", "أصول تجارية",
TRUE, B42
)</f>
        <v>فيلا سكنية</v>
      </c>
    </row>
    <row r="43" spans="1:12" x14ac:dyDescent="0.2">
      <c r="A43" t="s">
        <v>47</v>
      </c>
      <c r="B43" t="s">
        <v>26</v>
      </c>
      <c r="C43">
        <v>6</v>
      </c>
      <c r="D43">
        <v>6500</v>
      </c>
      <c r="E43">
        <v>5300</v>
      </c>
      <c r="F43">
        <v>4600</v>
      </c>
      <c r="G43">
        <v>3100</v>
      </c>
      <c r="H43">
        <v>16.8</v>
      </c>
      <c r="I43">
        <v>8.1999999999999993</v>
      </c>
      <c r="J43">
        <v>0.04</v>
      </c>
      <c r="K43">
        <v>0.42</v>
      </c>
      <c r="L43" t="str" cm="1">
        <f t="array" ref="L43">_xlfn.IFS(
B43="أرض صناعية", "أصول صناعية",
B43="مصنع إنتاج", "أصول صناعية",
B43="مستودع صناعي", "أصول صناعية",
B43="أرض تجارية", "أصول تجارية",
B43="معرض تجاري", "أصول تجارية",
B43="عمائر تجارية", "أصول تجارية",
B43="مكتب تجاري", "أصول تجارية",
TRUE, B43
)</f>
        <v>فيلا فاخرة</v>
      </c>
    </row>
    <row r="44" spans="1:12" x14ac:dyDescent="0.2">
      <c r="A44" t="s">
        <v>57</v>
      </c>
      <c r="B44" t="s">
        <v>30</v>
      </c>
      <c r="C44">
        <v>8</v>
      </c>
      <c r="D44">
        <v>5000</v>
      </c>
      <c r="E44">
        <v>3200</v>
      </c>
      <c r="F44">
        <v>3800</v>
      </c>
      <c r="G44">
        <v>2700</v>
      </c>
      <c r="H44">
        <v>15.5</v>
      </c>
      <c r="I44">
        <v>7.8</v>
      </c>
      <c r="J44">
        <v>0.04</v>
      </c>
      <c r="K44">
        <v>0.41</v>
      </c>
      <c r="L44" t="str" cm="1">
        <f t="array" ref="L44">_xlfn.IFS(
B44="أرض صناعية", "أصول صناعية",
B44="مصنع إنتاج", "أصول صناعية",
B44="مستودع صناعي", "أصول صناعية",
B44="أرض تجارية", "أصول تجارية",
B44="معرض تجاري", "أصول تجارية",
B44="عمائر تجارية", "أصول تجارية",
B44="مكتب تجاري", "أصول تجارية",
TRUE, B44
)</f>
        <v>فيلا سكنية</v>
      </c>
    </row>
    <row r="45" spans="1:12" x14ac:dyDescent="0.2">
      <c r="A45" t="s">
        <v>25</v>
      </c>
      <c r="B45" t="s">
        <v>26</v>
      </c>
      <c r="C45">
        <v>12</v>
      </c>
      <c r="D45">
        <v>6850</v>
      </c>
      <c r="E45">
        <v>6800</v>
      </c>
      <c r="F45">
        <v>4500</v>
      </c>
      <c r="G45">
        <v>3000</v>
      </c>
      <c r="H45">
        <v>16.5</v>
      </c>
      <c r="I45">
        <v>8</v>
      </c>
      <c r="J45">
        <v>0.03</v>
      </c>
      <c r="K45">
        <v>0.4</v>
      </c>
      <c r="L45" t="str" cm="1">
        <f t="array" ref="L45">_xlfn.IFS(
B45="أرض صناعية", "أصول صناعية",
B45="مصنع إنتاج", "أصول صناعية",
B45="مستودع صناعي", "أصول صناعية",
B45="أرض تجارية", "أصول تجارية",
B45="معرض تجاري", "أصول تجارية",
B45="عمائر تجارية", "أصول تجارية",
B45="مكتب تجاري", "أصول تجارية",
TRUE, B45
)</f>
        <v>فيلا فاخرة</v>
      </c>
    </row>
    <row r="46" spans="1:12" x14ac:dyDescent="0.2">
      <c r="A46" t="s">
        <v>99</v>
      </c>
      <c r="B46" t="s">
        <v>30</v>
      </c>
      <c r="C46">
        <v>8</v>
      </c>
      <c r="D46">
        <v>5100</v>
      </c>
      <c r="E46">
        <v>3000</v>
      </c>
      <c r="F46">
        <v>3000</v>
      </c>
      <c r="G46">
        <v>2100</v>
      </c>
      <c r="H46">
        <v>15</v>
      </c>
      <c r="I46">
        <v>7.1</v>
      </c>
      <c r="J46">
        <v>0.03</v>
      </c>
      <c r="K46">
        <v>0.4</v>
      </c>
      <c r="L46" t="str" cm="1">
        <f t="array" ref="L46">_xlfn.IFS(
B46="أرض صناعية", "أصول صناعية",
B46="مصنع إنتاج", "أصول صناعية",
B46="مستودع صناعي", "أصول صناعية",
B46="أرض تجارية", "أصول تجارية",
B46="معرض تجاري", "أصول تجارية",
B46="عمائر تجارية", "أصول تجارية",
B46="مكتب تجاري", "أصول تجارية",
TRUE, B46
)</f>
        <v>فيلا سكنية</v>
      </c>
    </row>
    <row r="47" spans="1:12" x14ac:dyDescent="0.2">
      <c r="A47" t="s">
        <v>85</v>
      </c>
      <c r="B47" t="s">
        <v>30</v>
      </c>
      <c r="C47">
        <v>11</v>
      </c>
      <c r="D47">
        <v>5400</v>
      </c>
      <c r="E47">
        <v>3000</v>
      </c>
      <c r="F47">
        <v>3100</v>
      </c>
      <c r="G47">
        <v>2200</v>
      </c>
      <c r="H47">
        <v>15.1</v>
      </c>
      <c r="I47">
        <v>7</v>
      </c>
      <c r="J47">
        <v>0.03</v>
      </c>
      <c r="K47">
        <v>0.39</v>
      </c>
      <c r="L47" t="str" cm="1">
        <f t="array" ref="L47">_xlfn.IFS(
B47="أرض صناعية", "أصول صناعية",
B47="مصنع إنتاج", "أصول صناعية",
B47="مستودع صناعي", "أصول صناعية",
B47="أرض تجارية", "أصول تجارية",
B47="معرض تجاري", "أصول تجارية",
B47="عمائر تجارية", "أصول تجارية",
B47="مكتب تجاري", "أصول تجارية",
TRUE, B47
)</f>
        <v>فيلا سكنية</v>
      </c>
    </row>
    <row r="48" spans="1:12" x14ac:dyDescent="0.2">
      <c r="A48" t="s">
        <v>60</v>
      </c>
      <c r="B48" t="s">
        <v>52</v>
      </c>
      <c r="C48">
        <v>11</v>
      </c>
      <c r="D48">
        <v>3100</v>
      </c>
      <c r="E48">
        <v>3700</v>
      </c>
      <c r="F48">
        <v>2450</v>
      </c>
      <c r="G48">
        <v>1800</v>
      </c>
      <c r="H48">
        <v>14.5</v>
      </c>
      <c r="I48">
        <v>7.7</v>
      </c>
      <c r="J48">
        <v>0.03</v>
      </c>
      <c r="K48">
        <v>0.38</v>
      </c>
      <c r="L48" t="str" cm="1">
        <f t="array" ref="L48">_xlfn.IFS(
B48="أرض صناعية", "أصول صناعية",
B48="مصنع إنتاج", "أصول صناعية",
B48="مستودع صناعي", "أصول صناعية",
B48="أرض تجارية", "أصول تجارية",
B48="معرض تجاري", "أصول تجارية",
B48="عمائر تجارية", "أصول تجارية",
B48="مكتب تجاري", "أصول تجارية",
TRUE, B48
)</f>
        <v>دور سكني</v>
      </c>
    </row>
    <row r="49" spans="1:12" x14ac:dyDescent="0.2">
      <c r="A49" t="s">
        <v>76</v>
      </c>
      <c r="B49" t="s">
        <v>30</v>
      </c>
      <c r="C49">
        <v>8</v>
      </c>
      <c r="D49">
        <v>6000</v>
      </c>
      <c r="E49">
        <v>2800</v>
      </c>
      <c r="F49">
        <v>3300</v>
      </c>
      <c r="G49">
        <v>2400</v>
      </c>
      <c r="H49">
        <v>15.2</v>
      </c>
      <c r="I49">
        <v>7.2</v>
      </c>
      <c r="J49">
        <v>0.03</v>
      </c>
      <c r="K49">
        <v>0.37</v>
      </c>
      <c r="L49" t="str" cm="1">
        <f t="array" ref="L49">_xlfn.IFS(
B49="أرض صناعية", "أصول صناعية",
B49="مصنع إنتاج", "أصول صناعية",
B49="مستودع صناعي", "أصول صناعية",
B49="أرض تجارية", "أصول تجارية",
B49="معرض تجاري", "أصول تجارية",
B49="عمائر تجارية", "أصول تجارية",
B49="مكتب تجاري", "أصول تجارية",
TRUE, B49
)</f>
        <v>فيلا سكنية</v>
      </c>
    </row>
    <row r="50" spans="1:12" x14ac:dyDescent="0.2">
      <c r="A50" t="s">
        <v>98</v>
      </c>
      <c r="B50" t="s">
        <v>52</v>
      </c>
      <c r="C50">
        <v>12</v>
      </c>
      <c r="D50">
        <v>3200</v>
      </c>
      <c r="E50">
        <v>3000</v>
      </c>
      <c r="F50">
        <v>2600</v>
      </c>
      <c r="G50">
        <v>1900</v>
      </c>
      <c r="H50">
        <v>14.4</v>
      </c>
      <c r="I50">
        <v>7.8</v>
      </c>
      <c r="J50">
        <v>0.02</v>
      </c>
      <c r="K50">
        <v>0.37</v>
      </c>
      <c r="L50" t="str" cm="1">
        <f t="array" ref="L50">_xlfn.IFS(
B50="أرض صناعية", "أصول صناعية",
B50="مصنع إنتاج", "أصول صناعية",
B50="مستودع صناعي", "أصول صناعية",
B50="أرض تجارية", "أصول تجارية",
B50="معرض تجاري", "أصول تجارية",
B50="عمائر تجارية", "أصول تجارية",
B50="مكتب تجاري", "أصول تجارية",
TRUE, B50
)</f>
        <v>دور سكني</v>
      </c>
    </row>
    <row r="51" spans="1:12" x14ac:dyDescent="0.2">
      <c r="A51" t="s">
        <v>92</v>
      </c>
      <c r="B51" t="s">
        <v>30</v>
      </c>
      <c r="C51">
        <v>7</v>
      </c>
      <c r="D51">
        <v>4800</v>
      </c>
      <c r="E51">
        <v>4500</v>
      </c>
      <c r="F51">
        <v>3200</v>
      </c>
      <c r="G51">
        <v>2300</v>
      </c>
      <c r="H51">
        <v>15.3</v>
      </c>
      <c r="I51">
        <v>7.6</v>
      </c>
      <c r="J51">
        <v>0.03</v>
      </c>
      <c r="K51">
        <v>0.36</v>
      </c>
      <c r="L51" t="str" cm="1">
        <f t="array" ref="L51">_xlfn.IFS(
B51="أرض صناعية", "أصول صناعية",
B51="مصنع إنتاج", "أصول صناعية",
B51="مستودع صناعي", "أصول صناعية",
B51="أرض تجارية", "أصول تجارية",
B51="معرض تجاري", "أصول تجارية",
B51="عمائر تجارية", "أصول تجارية",
B51="مكتب تجاري", "أصول تجارية",
TRUE, B51
)</f>
        <v>فيلا سكنية</v>
      </c>
    </row>
    <row r="52" spans="1:12" x14ac:dyDescent="0.2">
      <c r="A52" t="s">
        <v>68</v>
      </c>
      <c r="B52" t="s">
        <v>52</v>
      </c>
      <c r="C52">
        <v>13</v>
      </c>
      <c r="D52">
        <v>3400</v>
      </c>
      <c r="E52">
        <v>3200</v>
      </c>
      <c r="F52">
        <v>2700</v>
      </c>
      <c r="G52">
        <v>2000</v>
      </c>
      <c r="H52">
        <v>14.2</v>
      </c>
      <c r="I52">
        <v>7.6</v>
      </c>
      <c r="J52">
        <v>0.02</v>
      </c>
      <c r="K52">
        <v>0.36</v>
      </c>
      <c r="L52" t="str" cm="1">
        <f t="array" ref="L52">_xlfn.IFS(
B52="أرض صناعية", "أصول صناعية",
B52="مصنع إنتاج", "أصول صناعية",
B52="مستودع صناعي", "أصول صناعية",
B52="أرض تجارية", "أصول تجارية",
B52="معرض تجاري", "أصول تجارية",
B52="عمائر تجارية", "أصول تجارية",
B52="مكتب تجاري", "أصول تجارية",
TRUE, B52
)</f>
        <v>دور سكني</v>
      </c>
    </row>
    <row r="53" spans="1:12" x14ac:dyDescent="0.2">
      <c r="A53" t="s">
        <v>51</v>
      </c>
      <c r="B53" t="s">
        <v>52</v>
      </c>
      <c r="C53">
        <v>10</v>
      </c>
      <c r="D53">
        <v>3000</v>
      </c>
      <c r="E53">
        <v>360</v>
      </c>
      <c r="F53">
        <v>2900</v>
      </c>
      <c r="G53">
        <v>2100</v>
      </c>
      <c r="H53">
        <v>14</v>
      </c>
      <c r="I53">
        <v>7.5</v>
      </c>
      <c r="J53">
        <v>0.02</v>
      </c>
      <c r="K53">
        <v>0.35</v>
      </c>
      <c r="L53" t="str" cm="1">
        <f t="array" ref="L53">_xlfn.IFS(
B53="أرض صناعية", "أصول صناعية",
B53="مصنع إنتاج", "أصول صناعية",
B53="مستودع صناعي", "أصول صناعية",
B53="أرض تجارية", "أصول تجارية",
B53="معرض تجاري", "أصول تجارية",
B53="عمائر تجارية", "أصول تجارية",
B53="مكتب تجاري", "أصول تجارية",
TRUE, B53
)</f>
        <v>دور سكني</v>
      </c>
    </row>
    <row r="54" spans="1:12" x14ac:dyDescent="0.2">
      <c r="A54" t="s">
        <v>78</v>
      </c>
      <c r="B54" t="s">
        <v>52</v>
      </c>
      <c r="C54">
        <v>9</v>
      </c>
      <c r="D54">
        <v>2800</v>
      </c>
      <c r="E54">
        <v>2000</v>
      </c>
      <c r="F54">
        <v>2250</v>
      </c>
      <c r="G54">
        <v>1600</v>
      </c>
      <c r="H54">
        <v>14.3</v>
      </c>
      <c r="I54">
        <v>7.5</v>
      </c>
      <c r="J54">
        <v>0.02</v>
      </c>
      <c r="K54">
        <v>0.34</v>
      </c>
      <c r="L54" t="str" cm="1">
        <f t="array" ref="L54">_xlfn.IFS(
B54="أرض صناعية", "أصول صناعية",
B54="مصنع إنتاج", "أصول صناعية",
B54="مستودع صناعي", "أصول صناعية",
B54="أرض تجارية", "أصول تجارية",
B54="معرض تجاري", "أصول تجارية",
B54="عمائر تجارية", "أصول تجارية",
B54="مكتب تجاري", "أصول تجارية",
TRUE, B54
)</f>
        <v>دور سكني</v>
      </c>
    </row>
    <row r="55" spans="1:12" x14ac:dyDescent="0.2">
      <c r="A55" t="s">
        <v>88</v>
      </c>
      <c r="B55" t="s">
        <v>52</v>
      </c>
      <c r="C55">
        <v>10</v>
      </c>
      <c r="D55">
        <v>2900</v>
      </c>
      <c r="E55">
        <v>4000</v>
      </c>
      <c r="F55">
        <v>2800</v>
      </c>
      <c r="G55">
        <v>2000</v>
      </c>
      <c r="H55">
        <v>14.1</v>
      </c>
      <c r="I55">
        <v>7.4</v>
      </c>
      <c r="J55">
        <v>0.02</v>
      </c>
      <c r="K55">
        <v>0.33</v>
      </c>
      <c r="L55" t="str" cm="1">
        <f t="array" ref="L55">_xlfn.IFS(
B55="أرض صناعية", "أصول صناعية",
B55="مصنع إنتاج", "أصول صناعية",
B55="مستودع صناعي", "أصول صناعية",
B55="أرض تجارية", "أصول تجارية",
B55="معرض تجاري", "أصول تجارية",
B55="عمائر تجارية", "أصول تجارية",
B55="مكتب تجاري", "أصول تجارية",
TRUE, B55
)</f>
        <v>دور سكني</v>
      </c>
    </row>
    <row r="56" spans="1:12" x14ac:dyDescent="0.2">
      <c r="A56" t="s">
        <v>29</v>
      </c>
      <c r="B56" t="s">
        <v>30</v>
      </c>
      <c r="C56">
        <v>9</v>
      </c>
      <c r="D56">
        <v>5500</v>
      </c>
      <c r="E56">
        <v>6000</v>
      </c>
      <c r="F56">
        <v>3500</v>
      </c>
      <c r="G56">
        <v>2500</v>
      </c>
      <c r="H56">
        <v>15</v>
      </c>
      <c r="I56">
        <v>7</v>
      </c>
      <c r="J56">
        <v>0.02</v>
      </c>
      <c r="K56">
        <v>0.3</v>
      </c>
      <c r="L56" t="str" cm="1">
        <f t="array" ref="L56">_xlfn.IFS(
B56="أرض صناعية", "أصول صناعية",
B56="مصنع إنتاج", "أصول صناعية",
B56="مستودع صناعي", "أصول صناعية",
B56="أرض تجارية", "أصول تجارية",
B56="معرض تجاري", "أصول تجارية",
B56="عمائر تجارية", "أصول تجارية",
B56="مكتب تجاري", "أصول تجارية",
TRUE, B56
)</f>
        <v>فيلا سكنية</v>
      </c>
    </row>
    <row r="57" spans="1:12" x14ac:dyDescent="0.2">
      <c r="A57" t="s">
        <v>49</v>
      </c>
      <c r="B57" t="s">
        <v>20</v>
      </c>
      <c r="C57">
        <v>15</v>
      </c>
      <c r="D57">
        <v>3800</v>
      </c>
      <c r="E57">
        <v>6400</v>
      </c>
      <c r="F57">
        <v>2500</v>
      </c>
      <c r="G57">
        <v>1750</v>
      </c>
      <c r="H57">
        <v>11</v>
      </c>
      <c r="I57">
        <v>6.5</v>
      </c>
      <c r="J57">
        <v>0.01</v>
      </c>
      <c r="K57">
        <v>0.15</v>
      </c>
      <c r="L57" t="str" cm="1">
        <f t="array" ref="L57">_xlfn.IFS(
B57="أرض صناعية", "أصول صناعية",
B57="مصنع إنتاج", "أصول صناعية",
B57="مستودع صناعي", "أصول صناعية",
B57="أرض تجارية", "أصول تجارية",
B57="معرض تجاري", "أصول تجارية",
B57="عمائر تجارية", "أصول تجارية",
B57="مكتب تجاري", "أصول تجارية",
TRUE, B57
)</f>
        <v>أرض سكنية</v>
      </c>
    </row>
    <row r="58" spans="1:12" x14ac:dyDescent="0.2">
      <c r="A58" t="s">
        <v>96</v>
      </c>
      <c r="B58" t="s">
        <v>20</v>
      </c>
      <c r="C58">
        <v>13</v>
      </c>
      <c r="D58">
        <v>3700</v>
      </c>
      <c r="E58">
        <v>7500</v>
      </c>
      <c r="F58">
        <v>2400</v>
      </c>
      <c r="G58">
        <v>1650</v>
      </c>
      <c r="H58">
        <v>10.9</v>
      </c>
      <c r="I58">
        <v>6.4</v>
      </c>
      <c r="J58">
        <v>0</v>
      </c>
      <c r="K58">
        <v>0.1</v>
      </c>
      <c r="L58" t="str" cm="1">
        <f t="array" ref="L58">_xlfn.IFS(
B58="أرض صناعية", "أصول صناعية",
B58="مصنع إنتاج", "أصول صناعية",
B58="مستودع صناعي", "أصول صناعية",
B58="أرض تجارية", "أصول تجارية",
B58="معرض تجاري", "أصول تجارية",
B58="عمائر تجارية", "أصول تجارية",
B58="مكتب تجاري", "أصول تجارية",
TRUE, B58
)</f>
        <v>أرض سكنية</v>
      </c>
    </row>
    <row r="59" spans="1:12" x14ac:dyDescent="0.2">
      <c r="A59" t="s">
        <v>84</v>
      </c>
      <c r="B59" t="s">
        <v>20</v>
      </c>
      <c r="C59">
        <v>16</v>
      </c>
      <c r="D59">
        <v>4100</v>
      </c>
      <c r="E59">
        <v>6600</v>
      </c>
      <c r="F59">
        <v>2100</v>
      </c>
      <c r="G59">
        <v>1450</v>
      </c>
      <c r="H59">
        <v>11.2</v>
      </c>
      <c r="I59">
        <v>6.1</v>
      </c>
      <c r="J59">
        <v>-0.04</v>
      </c>
      <c r="K59">
        <v>-0.55000000000000004</v>
      </c>
      <c r="L59" t="str" cm="1">
        <f t="array" ref="L59">_xlfn.IFS(
B59="أرض صناعية", "أصول صناعية",
B59="مصنع إنتاج", "أصول صناعية",
B59="مستودع صناعي", "أصول صناعية",
B59="أرض تجارية", "أصول تجارية",
B59="معرض تجاري", "أصول تجارية",
B59="عمائر تجارية", "أصول تجارية",
B59="مكتب تجاري", "أصول تجارية",
TRUE, B59
)</f>
        <v>أرض سكنية</v>
      </c>
    </row>
    <row r="60" spans="1:12" x14ac:dyDescent="0.2">
      <c r="A60" t="s">
        <v>34</v>
      </c>
      <c r="B60" t="s">
        <v>20</v>
      </c>
      <c r="C60">
        <v>14</v>
      </c>
      <c r="D60">
        <v>4200</v>
      </c>
      <c r="E60">
        <v>6000</v>
      </c>
      <c r="F60">
        <v>2200</v>
      </c>
      <c r="G60">
        <v>1500</v>
      </c>
      <c r="H60">
        <v>11.5</v>
      </c>
      <c r="I60">
        <v>6</v>
      </c>
      <c r="J60">
        <v>-0.05</v>
      </c>
      <c r="K60">
        <v>-0.6</v>
      </c>
      <c r="L60" t="str" cm="1">
        <f t="array" ref="L60">_xlfn.IFS(
B60="أرض صناعية", "أصول صناعية",
B60="مصنع إنتاج", "أصول صناعية",
B60="مستودع صناعي", "أصول صناعية",
B60="أرض تجارية", "أصول تجارية",
B60="معرض تجاري", "أصول تجارية",
B60="عمائر تجارية", "أصول تجارية",
B60="مكتب تجاري", "أصول تجارية",
TRUE, B60
)</f>
        <v>أرض سكنية</v>
      </c>
    </row>
    <row r="61" spans="1:12" x14ac:dyDescent="0.2">
      <c r="A61" t="s">
        <v>91</v>
      </c>
      <c r="B61" t="s">
        <v>14</v>
      </c>
      <c r="C61">
        <v>18</v>
      </c>
      <c r="D61">
        <v>2300</v>
      </c>
      <c r="E61">
        <v>1600</v>
      </c>
      <c r="F61">
        <v>1850</v>
      </c>
      <c r="G61">
        <v>1350</v>
      </c>
      <c r="H61">
        <v>11.4</v>
      </c>
      <c r="I61">
        <v>5.3</v>
      </c>
      <c r="J61">
        <v>-0.05</v>
      </c>
      <c r="K61">
        <v>-0.7</v>
      </c>
      <c r="L61" t="str" cm="1">
        <f t="array" ref="L61">_xlfn.IFS(
B61="أرض صناعية", "أصول صناعية",
B61="مصنع إنتاج", "أصول صناعية",
B61="مستودع صناعي", "أصول صناعية",
B61="أرض تجارية", "أصول تجارية",
B61="معرض تجاري", "أصول تجارية",
B61="عمائر تجارية", "أصول تجارية",
B61="مكتب تجاري", "أصول تجارية",
TRUE, B61
)</f>
        <v>شقة سكنية</v>
      </c>
    </row>
    <row r="62" spans="1:12" x14ac:dyDescent="0.2">
      <c r="A62" t="s">
        <v>67</v>
      </c>
      <c r="B62" t="s">
        <v>20</v>
      </c>
      <c r="C62">
        <v>15</v>
      </c>
      <c r="D62">
        <v>3600</v>
      </c>
      <c r="E62">
        <v>9000</v>
      </c>
      <c r="F62">
        <v>1600</v>
      </c>
      <c r="G62">
        <v>1050</v>
      </c>
      <c r="H62">
        <v>10.4</v>
      </c>
      <c r="I62">
        <v>5.9</v>
      </c>
      <c r="J62">
        <v>-0.06</v>
      </c>
      <c r="K62">
        <v>-0.75</v>
      </c>
      <c r="L62" t="str" cm="1">
        <f t="array" ref="L62">_xlfn.IFS(
B62="أرض صناعية", "أصول صناعية",
B62="مصنع إنتاج", "أصول صناعية",
B62="مستودع صناعي", "أصول صناعية",
B62="أرض تجارية", "أصول تجارية",
B62="معرض تجاري", "أصول تجارية",
B62="عمائر تجارية", "أصول تجارية",
B62="مكتب تجاري", "أصول تجارية",
TRUE, B62
)</f>
        <v>أرض سكنية</v>
      </c>
    </row>
    <row r="63" spans="1:12" x14ac:dyDescent="0.2">
      <c r="A63" t="s">
        <v>93</v>
      </c>
      <c r="B63" t="s">
        <v>14</v>
      </c>
      <c r="C63">
        <v>16</v>
      </c>
      <c r="D63">
        <v>2500</v>
      </c>
      <c r="E63">
        <v>2500</v>
      </c>
      <c r="F63">
        <v>2100</v>
      </c>
      <c r="G63">
        <v>1550</v>
      </c>
      <c r="H63">
        <v>11.6</v>
      </c>
      <c r="I63">
        <v>5.0999999999999996</v>
      </c>
      <c r="J63">
        <v>-0.06</v>
      </c>
      <c r="K63">
        <v>-0.78</v>
      </c>
      <c r="L63" t="str" cm="1">
        <f t="array" ref="L63">_xlfn.IFS(
B63="أرض صناعية", "أصول صناعية",
B63="مصنع إنتاج", "أصول صناعية",
B63="مستودع صناعي", "أصول صناعية",
B63="أرض تجارية", "أصول تجارية",
B63="معرض تجاري", "أصول تجارية",
B63="عمائر تجارية", "أصول تجارية",
B63="مكتب تجاري", "أصول تجارية",
TRUE, B63
)</f>
        <v>شقة سكنية</v>
      </c>
    </row>
    <row r="64" spans="1:12" x14ac:dyDescent="0.2">
      <c r="A64" t="s">
        <v>90</v>
      </c>
      <c r="B64" t="s">
        <v>20</v>
      </c>
      <c r="C64">
        <v>19</v>
      </c>
      <c r="D64">
        <v>4500</v>
      </c>
      <c r="E64">
        <v>8000</v>
      </c>
      <c r="F64">
        <v>1400</v>
      </c>
      <c r="G64">
        <v>900</v>
      </c>
      <c r="H64">
        <v>10.1</v>
      </c>
      <c r="I64">
        <v>5.4</v>
      </c>
      <c r="J64">
        <v>-7.0000000000000007E-2</v>
      </c>
      <c r="K64">
        <v>-0.8</v>
      </c>
      <c r="L64" t="str" cm="1">
        <f t="array" ref="L64">_xlfn.IFS(
B64="أرض صناعية", "أصول صناعية",
B64="مصنع إنتاج", "أصول صناعية",
B64="مستودع صناعي", "أصول صناعية",
B64="أرض تجارية", "أصول تجارية",
B64="معرض تجاري", "أصول تجارية",
B64="عمائر تجارية", "أصول تجارية",
B64="مكتب تجاري", "أصول تجارية",
TRUE, B64
)</f>
        <v>أرض سكنية</v>
      </c>
    </row>
    <row r="65" spans="1:12" x14ac:dyDescent="0.2">
      <c r="A65" t="s">
        <v>50</v>
      </c>
      <c r="B65" t="s">
        <v>14</v>
      </c>
      <c r="C65">
        <v>19</v>
      </c>
      <c r="D65">
        <v>2200</v>
      </c>
      <c r="E65">
        <v>2000</v>
      </c>
      <c r="F65">
        <v>1750</v>
      </c>
      <c r="G65">
        <v>1250</v>
      </c>
      <c r="H65">
        <v>11.3</v>
      </c>
      <c r="I65">
        <v>5.0999999999999996</v>
      </c>
      <c r="J65">
        <v>-7.0000000000000007E-2</v>
      </c>
      <c r="K65">
        <v>-0.85</v>
      </c>
      <c r="L65" t="str" cm="1">
        <f t="array" ref="L65">_xlfn.IFS(
B65="أرض صناعية", "أصول صناعية",
B65="مصنع إنتاج", "أصول صناعية",
B65="مستودع صناعي", "أصول صناعية",
B65="أرض تجارية", "أصول تجارية",
B65="معرض تجاري", "أصول تجارية",
B65="عمائر تجارية", "أصول تجارية",
B65="مكتب تجاري", "أصول تجارية",
TRUE, B65
)</f>
        <v>شقة سكنية</v>
      </c>
    </row>
    <row r="66" spans="1:12" x14ac:dyDescent="0.2">
      <c r="A66" t="s">
        <v>33</v>
      </c>
      <c r="B66" t="s">
        <v>20</v>
      </c>
      <c r="C66">
        <v>18</v>
      </c>
      <c r="D66">
        <v>3500</v>
      </c>
      <c r="E66">
        <v>8100</v>
      </c>
      <c r="F66">
        <v>1500</v>
      </c>
      <c r="G66">
        <v>950</v>
      </c>
      <c r="H66">
        <v>10.5</v>
      </c>
      <c r="I66">
        <v>5.5</v>
      </c>
      <c r="J66">
        <v>-0.08</v>
      </c>
      <c r="K66">
        <v>-0.9</v>
      </c>
      <c r="L66" t="str" cm="1">
        <f t="array" ref="L66">_xlfn.IFS(
B66="أرض صناعية", "أصول صناعية",
B66="مصنع إنتاج", "أصول صناعية",
B66="مستودع صناعي", "أصول صناعية",
B66="أرض تجارية", "أصول تجارية",
B66="معرض تجاري", "أصول تجارية",
B66="عمائر تجارية", "أصول تجارية",
B66="مكتب تجاري", "أصول تجارية",
TRUE, B66
)</f>
        <v>أرض سكنية</v>
      </c>
    </row>
    <row r="67" spans="1:12" x14ac:dyDescent="0.2">
      <c r="A67" t="s">
        <v>43</v>
      </c>
      <c r="B67" t="s">
        <v>14</v>
      </c>
      <c r="C67">
        <v>20</v>
      </c>
      <c r="D67">
        <v>2000</v>
      </c>
      <c r="E67">
        <v>1950</v>
      </c>
      <c r="F67">
        <v>2200</v>
      </c>
      <c r="G67">
        <v>1650</v>
      </c>
      <c r="H67">
        <v>11.5</v>
      </c>
      <c r="I67">
        <v>5.2</v>
      </c>
      <c r="J67">
        <v>-0.08</v>
      </c>
      <c r="K67">
        <v>-0.9</v>
      </c>
      <c r="L67" t="str" cm="1">
        <f t="array" ref="L67">_xlfn.IFS(
B67="أرض صناعية", "أصول صناعية",
B67="مصنع إنتاج", "أصول صناعية",
B67="مستودع صناعي", "أصول صناعية",
B67="أرض تجارية", "أصول تجارية",
B67="معرض تجاري", "أصول تجارية",
B67="عمائر تجارية", "أصول تجارية",
B67="مكتب تجاري", "أصول تجارية",
TRUE, B67
)</f>
        <v>شقة سكنية</v>
      </c>
    </row>
    <row r="68" spans="1:12" x14ac:dyDescent="0.2">
      <c r="A68" t="s">
        <v>103</v>
      </c>
      <c r="B68" t="s">
        <v>20</v>
      </c>
      <c r="C68">
        <v>11</v>
      </c>
      <c r="D68">
        <v>3000</v>
      </c>
      <c r="E68">
        <v>8800</v>
      </c>
      <c r="F68">
        <v>2700</v>
      </c>
      <c r="G68">
        <v>1950</v>
      </c>
      <c r="H68">
        <v>10.7</v>
      </c>
      <c r="I68">
        <v>6.3</v>
      </c>
      <c r="J68">
        <v>-0.08</v>
      </c>
      <c r="K68">
        <v>-0.92</v>
      </c>
      <c r="L68" t="str" cm="1">
        <f t="array" ref="L68">_xlfn.IFS(
B68="أرض صناعية", "أصول صناعية",
B68="مصنع إنتاج", "أصول صناعية",
B68="مستودع صناعي", "أصول صناعية",
B68="أرض تجارية", "أصول تجارية",
B68="معرض تجاري", "أصول تجارية",
B68="عمائر تجارية", "أصول تجارية",
B68="مكتب تجاري", "أصول تجارية",
TRUE, B68
)</f>
        <v>أرض سكنية</v>
      </c>
    </row>
    <row r="69" spans="1:12" x14ac:dyDescent="0.2">
      <c r="A69" t="s">
        <v>19</v>
      </c>
      <c r="B69" t="s">
        <v>20</v>
      </c>
      <c r="C69">
        <v>10</v>
      </c>
      <c r="D69">
        <v>1500</v>
      </c>
      <c r="E69">
        <v>7200</v>
      </c>
      <c r="F69">
        <v>4200</v>
      </c>
      <c r="G69">
        <v>3050</v>
      </c>
      <c r="H69">
        <v>10</v>
      </c>
      <c r="I69">
        <v>6.5</v>
      </c>
      <c r="J69">
        <v>-0.09</v>
      </c>
      <c r="K69">
        <v>-0.95</v>
      </c>
      <c r="L69" t="str" cm="1">
        <f t="array" ref="L69">_xlfn.IFS(
B69="أرض صناعية", "أصول صناعية",
B69="مصنع إنتاج", "أصول صناعية",
B69="مستودع صناعي", "أصول صناعية",
B69="أرض تجارية", "أصول تجارية",
B69="معرض تجاري", "أصول تجارية",
B69="عمائر تجارية", "أصول تجارية",
B69="مكتب تجاري", "أصول تجارية",
TRUE, B69
)</f>
        <v>أرض سكنية</v>
      </c>
    </row>
    <row r="70" spans="1:12" x14ac:dyDescent="0.2">
      <c r="A70" t="s">
        <v>75</v>
      </c>
      <c r="B70" t="s">
        <v>20</v>
      </c>
      <c r="C70">
        <v>14</v>
      </c>
      <c r="D70">
        <v>3100</v>
      </c>
      <c r="E70">
        <v>7900</v>
      </c>
      <c r="F70">
        <v>3400</v>
      </c>
      <c r="G70">
        <v>2500</v>
      </c>
      <c r="H70">
        <v>10.5</v>
      </c>
      <c r="I70">
        <v>6.1</v>
      </c>
      <c r="J70">
        <v>-0.09</v>
      </c>
      <c r="K70">
        <v>-0.98</v>
      </c>
      <c r="L70" t="str" cm="1">
        <f t="array" ref="L70">_xlfn.IFS(
B70="أرض صناعية", "أصول صناعية",
B70="مصنع إنتاج", "أصول صناعية",
B70="مستودع صناعي", "أصول صناعية",
B70="أرض تجارية", "أصول تجارية",
B70="معرض تجاري", "أصول تجارية",
B70="عمائر تجارية", "أصول تجارية",
B70="مكتب تجاري", "أصول تجارية",
TRUE, B70
)</f>
        <v>أرض سكنية</v>
      </c>
    </row>
    <row r="71" spans="1:12" x14ac:dyDescent="0.2">
      <c r="A71" t="s">
        <v>55</v>
      </c>
      <c r="B71" t="s">
        <v>20</v>
      </c>
      <c r="C71">
        <v>13</v>
      </c>
      <c r="D71">
        <v>3000</v>
      </c>
      <c r="E71">
        <v>9000</v>
      </c>
      <c r="F71">
        <v>3300</v>
      </c>
      <c r="G71">
        <v>2400</v>
      </c>
      <c r="H71">
        <v>10.3</v>
      </c>
      <c r="I71">
        <v>6</v>
      </c>
      <c r="J71">
        <v>-0.1</v>
      </c>
      <c r="K71">
        <v>-1</v>
      </c>
      <c r="L71" t="str" cm="1">
        <f t="array" ref="L71">_xlfn.IFS(
B71="أرض صناعية", "أصول صناعية",
B71="مصنع إنتاج", "أصول صناعية",
B71="مستودع صناعي", "أصول صناعية",
B71="أرض تجارية", "أصول تجارية",
B71="معرض تجاري", "أصول تجارية",
B71="عمائر تجارية", "أصول تجارية",
B71="مكتب تجاري", "أصول تجارية",
TRUE, B71
)</f>
        <v>أرض سكنية</v>
      </c>
    </row>
    <row r="72" spans="1:12" x14ac:dyDescent="0.2">
      <c r="A72" t="s">
        <v>77</v>
      </c>
      <c r="B72" t="s">
        <v>14</v>
      </c>
      <c r="C72">
        <v>23</v>
      </c>
      <c r="D72">
        <v>2100</v>
      </c>
      <c r="E72">
        <v>2000</v>
      </c>
      <c r="F72">
        <v>2300</v>
      </c>
      <c r="G72">
        <v>1700</v>
      </c>
      <c r="H72">
        <v>11.7</v>
      </c>
      <c r="I72">
        <v>5</v>
      </c>
      <c r="J72">
        <v>-0.09</v>
      </c>
      <c r="K72">
        <v>-1</v>
      </c>
      <c r="L72" t="str" cm="1">
        <f t="array" ref="L72">_xlfn.IFS(
B72="أرض صناعية", "أصول صناعية",
B72="مصنع إنتاج", "أصول صناعية",
B72="مستودع صناعي", "أصول صناعية",
B72="أرض تجارية", "أصول تجارية",
B72="معرض تجاري", "أصول تجارية",
B72="عمائر تجارية", "أصول تجارية",
B72="مكتب تجاري", "أصول تجارية",
TRUE, B72
)</f>
        <v>شقة سكنية</v>
      </c>
    </row>
    <row r="73" spans="1:12" x14ac:dyDescent="0.2">
      <c r="A73" t="s">
        <v>35</v>
      </c>
      <c r="B73" t="s">
        <v>14</v>
      </c>
      <c r="C73">
        <v>22</v>
      </c>
      <c r="D73">
        <v>1800</v>
      </c>
      <c r="E73">
        <v>2200</v>
      </c>
      <c r="F73">
        <v>2500</v>
      </c>
      <c r="G73">
        <v>1800</v>
      </c>
      <c r="H73">
        <v>11.8</v>
      </c>
      <c r="I73">
        <v>5</v>
      </c>
      <c r="J73">
        <v>-0.1</v>
      </c>
      <c r="K73">
        <v>-1.05</v>
      </c>
      <c r="L73" t="str" cm="1">
        <f t="array" ref="L73">_xlfn.IFS(
B73="أرض صناعية", "أصول صناعية",
B73="مصنع إنتاج", "أصول صناعية",
B73="مستودع صناعي", "أصول صناعية",
B73="أرض تجارية", "أصول تجارية",
B73="معرض تجاري", "أصول تجارية",
B73="عمائر تجارية", "أصول تجارية",
B73="مكتب تجاري", "أصول تجارية",
TRUE, B73
)</f>
        <v>شقة سكنية</v>
      </c>
    </row>
    <row r="74" spans="1:12" x14ac:dyDescent="0.2">
      <c r="A74" t="s">
        <v>41</v>
      </c>
      <c r="B74" t="s">
        <v>20</v>
      </c>
      <c r="C74">
        <v>16</v>
      </c>
      <c r="D74">
        <v>4000</v>
      </c>
      <c r="E74">
        <v>12000</v>
      </c>
      <c r="F74">
        <v>1900</v>
      </c>
      <c r="G74">
        <v>1300</v>
      </c>
      <c r="H74">
        <v>10.8</v>
      </c>
      <c r="I74">
        <v>6.2</v>
      </c>
      <c r="J74">
        <v>-0.11</v>
      </c>
      <c r="K74">
        <v>-1.1499999999999999</v>
      </c>
      <c r="L74" t="str" cm="1">
        <f t="array" ref="L74">_xlfn.IFS(
B74="أرض صناعية", "أصول صناعية",
B74="مصنع إنتاج", "أصول صناعية",
B74="مستودع صناعي", "أصول صناعية",
B74="أرض تجارية", "أصول تجارية",
B74="معرض تجاري", "أصول تجارية",
B74="عمائر تجارية", "أصول تجارية",
B74="مكتب تجاري", "أصول تجارية",
TRUE, B74
)</f>
        <v>أرض سكنية</v>
      </c>
    </row>
    <row r="75" spans="1:12" x14ac:dyDescent="0.2">
      <c r="A75" t="s">
        <v>102</v>
      </c>
      <c r="B75" t="s">
        <v>14</v>
      </c>
      <c r="C75">
        <v>26</v>
      </c>
      <c r="D75">
        <v>2600</v>
      </c>
      <c r="E75">
        <v>3200</v>
      </c>
      <c r="F75">
        <v>3500</v>
      </c>
      <c r="G75">
        <v>2700</v>
      </c>
      <c r="H75">
        <v>13.4</v>
      </c>
      <c r="I75">
        <v>5.9</v>
      </c>
      <c r="J75">
        <v>-0.11</v>
      </c>
      <c r="K75">
        <v>-1.2</v>
      </c>
      <c r="L75" t="str" cm="1">
        <f t="array" ref="L75">_xlfn.IFS(
B75="أرض صناعية", "أصول صناعية",
B75="مصنع إنتاج", "أصول صناعية",
B75="مستودع صناعي", "أصول صناعية",
B75="أرض تجارية", "أصول تجارية",
B75="معرض تجاري", "أصول تجارية",
B75="عمائر تجارية", "أصول تجارية",
B75="مكتب تجاري", "أصول تجارية",
TRUE, B75
)</f>
        <v>شقة سكنية</v>
      </c>
    </row>
    <row r="76" spans="1:12" x14ac:dyDescent="0.2">
      <c r="A76" t="s">
        <v>65</v>
      </c>
      <c r="B76" t="s">
        <v>14</v>
      </c>
      <c r="C76">
        <v>21</v>
      </c>
      <c r="D76">
        <v>1900</v>
      </c>
      <c r="E76">
        <v>3600</v>
      </c>
      <c r="F76">
        <v>3900</v>
      </c>
      <c r="G76">
        <v>3000</v>
      </c>
      <c r="H76">
        <v>13.5</v>
      </c>
      <c r="I76">
        <v>6.1</v>
      </c>
      <c r="J76">
        <v>-0.11</v>
      </c>
      <c r="K76">
        <v>-1.25</v>
      </c>
      <c r="L76" t="str" cm="1">
        <f t="array" ref="L76">_xlfn.IFS(
B76="أرض صناعية", "أصول صناعية",
B76="مصنع إنتاج", "أصول صناعية",
B76="مستودع صناعي", "أصول صناعية",
B76="أرض تجارية", "أصول تجارية",
B76="معرض تجاري", "أصول تجارية",
B76="عمائر تجارية", "أصول تجارية",
B76="مكتب تجاري", "أصول تجارية",
TRUE, B76
)</f>
        <v>شقة سكنية</v>
      </c>
    </row>
    <row r="77" spans="1:12" x14ac:dyDescent="0.2">
      <c r="A77" t="s">
        <v>87</v>
      </c>
      <c r="B77" t="s">
        <v>14</v>
      </c>
      <c r="C77">
        <v>27</v>
      </c>
      <c r="D77">
        <v>2700</v>
      </c>
      <c r="E77">
        <v>3500</v>
      </c>
      <c r="F77">
        <v>3800</v>
      </c>
      <c r="G77">
        <v>2900</v>
      </c>
      <c r="H77">
        <v>13.3</v>
      </c>
      <c r="I77">
        <v>5.8</v>
      </c>
      <c r="J77">
        <v>-0.12</v>
      </c>
      <c r="K77">
        <v>-1.3</v>
      </c>
      <c r="L77" t="str" cm="1">
        <f t="array" ref="L77">_xlfn.IFS(
B77="أرض صناعية", "أصول صناعية",
B77="مصنع إنتاج", "أصول صناعية",
B77="مستودع صناعي", "أصول صناعية",
B77="أرض تجارية", "أصول تجارية",
B77="معرض تجاري", "أصول تجارية",
B77="عمائر تجارية", "أصول تجارية",
B77="مكتب تجاري", "أصول تجارية",
TRUE, B77
)</f>
        <v>شقة سكنية</v>
      </c>
    </row>
    <row r="78" spans="1:12" x14ac:dyDescent="0.2">
      <c r="A78" t="s">
        <v>28</v>
      </c>
      <c r="B78" t="s">
        <v>14</v>
      </c>
      <c r="C78">
        <v>15</v>
      </c>
      <c r="D78">
        <v>1250</v>
      </c>
      <c r="E78">
        <v>4100</v>
      </c>
      <c r="F78">
        <v>4400</v>
      </c>
      <c r="G78">
        <v>3200</v>
      </c>
      <c r="H78">
        <v>13</v>
      </c>
      <c r="I78">
        <v>6</v>
      </c>
      <c r="J78">
        <v>-0.12</v>
      </c>
      <c r="K78">
        <v>-1.35</v>
      </c>
      <c r="L78" t="str" cm="1">
        <f t="array" ref="L78">_xlfn.IFS(
B78="أرض صناعية", "أصول صناعية",
B78="مصنع إنتاج", "أصول صناعية",
B78="مستودع صناعي", "أصول صناعية",
B78="أرض تجارية", "أصول تجارية",
B78="معرض تجاري", "أصول تجارية",
B78="عمائر تجارية", "أصول تجارية",
B78="مكتب تجاري", "أصول تجارية",
TRUE, B78
)</f>
        <v>شقة سكنية</v>
      </c>
    </row>
    <row r="79" spans="1:12" x14ac:dyDescent="0.2">
      <c r="A79" t="s">
        <v>64</v>
      </c>
      <c r="B79" t="s">
        <v>14</v>
      </c>
      <c r="C79">
        <v>26</v>
      </c>
      <c r="D79">
        <v>2600</v>
      </c>
      <c r="E79">
        <v>3000</v>
      </c>
      <c r="F79">
        <v>3000</v>
      </c>
      <c r="G79">
        <v>2300</v>
      </c>
      <c r="H79">
        <v>12.2</v>
      </c>
      <c r="I79">
        <v>5.3</v>
      </c>
      <c r="J79">
        <v>-0.13</v>
      </c>
      <c r="K79">
        <v>-1.4</v>
      </c>
      <c r="L79" t="str" cm="1">
        <f t="array" ref="L79">_xlfn.IFS(
B79="أرض صناعية", "أصول صناعية",
B79="مصنع إنتاج", "أصول صناعية",
B79="مستودع صناعي", "أصول صناعية",
B79="أرض تجارية", "أصول تجارية",
B79="معرض تجاري", "أصول تجارية",
B79="عمائر تجارية", "أصول تجارية",
B79="مكتب تجاري", "أصول تجارية",
TRUE, B79
)</f>
        <v>شقة سكنية</v>
      </c>
    </row>
    <row r="80" spans="1:12" x14ac:dyDescent="0.2">
      <c r="A80" t="s">
        <v>97</v>
      </c>
      <c r="B80" t="s">
        <v>14</v>
      </c>
      <c r="C80">
        <v>24</v>
      </c>
      <c r="D80">
        <v>2300</v>
      </c>
      <c r="E80">
        <v>3400</v>
      </c>
      <c r="F80">
        <v>3700</v>
      </c>
      <c r="G80">
        <v>2800</v>
      </c>
      <c r="H80">
        <v>13.1</v>
      </c>
      <c r="I80">
        <v>5.6</v>
      </c>
      <c r="J80">
        <v>-0.13</v>
      </c>
      <c r="K80">
        <v>-1.45</v>
      </c>
      <c r="L80" t="str" cm="1">
        <f t="array" ref="L80">_xlfn.IFS(
B80="أرض صناعية", "أصول صناعية",
B80="مصنع إنتاج", "أصول صناعية",
B80="مستودع صناعي", "أصول صناعية",
B80="أرض تجارية", "أصول تجارية",
B80="معرض تجاري", "أصول تجارية",
B80="عمائر تجارية", "أصول تجارية",
B80="مكتب تجاري", "أصول تجارية",
TRUE, B80
)</f>
        <v>شقة سكنية</v>
      </c>
    </row>
    <row r="81" spans="1:12" x14ac:dyDescent="0.2">
      <c r="A81" t="s">
        <v>81</v>
      </c>
      <c r="B81" t="s">
        <v>14</v>
      </c>
      <c r="C81">
        <v>20</v>
      </c>
      <c r="D81">
        <v>1700</v>
      </c>
      <c r="E81">
        <v>3100</v>
      </c>
      <c r="F81">
        <v>3400</v>
      </c>
      <c r="G81">
        <v>2500</v>
      </c>
      <c r="H81">
        <v>13</v>
      </c>
      <c r="I81">
        <v>5.9</v>
      </c>
      <c r="J81">
        <v>-0.14000000000000001</v>
      </c>
      <c r="K81">
        <v>-1.45</v>
      </c>
      <c r="L81" t="str" cm="1">
        <f t="array" ref="L81">_xlfn.IFS(
B81="أرض صناعية", "أصول صناعية",
B81="مصنع إنتاج", "أصول صناعية",
B81="مستودع صناعي", "أصول صناعية",
B81="أرض تجارية", "أصول تجارية",
B81="معرض تجاري", "أصول تجارية",
B81="عمائر تجارية", "أصول تجارية",
B81="مكتب تجاري", "أصول تجارية",
TRUE, B81
)</f>
        <v>شقة سكنية</v>
      </c>
    </row>
    <row r="82" spans="1:12" x14ac:dyDescent="0.2">
      <c r="A82" t="s">
        <v>48</v>
      </c>
      <c r="B82" t="s">
        <v>14</v>
      </c>
      <c r="C82">
        <v>28</v>
      </c>
      <c r="D82">
        <v>2800</v>
      </c>
      <c r="E82">
        <v>3300</v>
      </c>
      <c r="F82">
        <v>3600</v>
      </c>
      <c r="G82">
        <v>2800</v>
      </c>
      <c r="H82">
        <v>13.2</v>
      </c>
      <c r="I82">
        <v>5.7</v>
      </c>
      <c r="J82">
        <v>-0.14000000000000001</v>
      </c>
      <c r="K82">
        <v>-1.5</v>
      </c>
      <c r="L82" t="str" cm="1">
        <f t="array" ref="L82">_xlfn.IFS(
B82="أرض صناعية", "أصول صناعية",
B82="مصنع إنتاج", "أصول صناعية",
B82="مستودع صناعي", "أصول صناعية",
B82="أرض تجارية", "أصول تجارية",
B82="معرض تجاري", "أصول تجارية",
B82="عمائر تجارية", "أصول تجارية",
B82="مكتب تجاري", "أصول تجارية",
TRUE, B82
)</f>
        <v>شقة سكنية</v>
      </c>
    </row>
    <row r="83" spans="1:12" x14ac:dyDescent="0.2">
      <c r="A83" t="s">
        <v>13</v>
      </c>
      <c r="B83" t="s">
        <v>14</v>
      </c>
      <c r="C83">
        <v>25</v>
      </c>
      <c r="D83">
        <v>2556</v>
      </c>
      <c r="E83">
        <v>3063</v>
      </c>
      <c r="F83">
        <v>3300</v>
      </c>
      <c r="G83">
        <v>2450</v>
      </c>
      <c r="H83">
        <v>12</v>
      </c>
      <c r="I83">
        <v>5.5</v>
      </c>
      <c r="J83">
        <v>-0.15</v>
      </c>
      <c r="K83">
        <v>-1.58</v>
      </c>
      <c r="L83" t="str" cm="1">
        <f t="array" ref="L83">_xlfn.IFS(
B83="أرض صناعية", "أصول صناعية",
B83="مصنع إنتاج", "أصول صناعية",
B83="مستودع صناعي", "أصول صناعية",
B83="أرض تجارية", "أصول تجارية",
B83="معرض تجاري", "أصول تجارية",
B83="عمائر تجارية", "أصول تجارية",
B83="مكتب تجاري", "أصول تجارية",
TRUE, B83
)</f>
        <v>شقة سكنية</v>
      </c>
    </row>
    <row r="84" spans="1:12" x14ac:dyDescent="0.2">
      <c r="A84" t="s">
        <v>56</v>
      </c>
      <c r="B84" t="s">
        <v>14</v>
      </c>
      <c r="C84">
        <v>24</v>
      </c>
      <c r="D84">
        <v>2400</v>
      </c>
      <c r="E84">
        <v>3500</v>
      </c>
      <c r="F84">
        <v>2800</v>
      </c>
      <c r="G84">
        <v>2100</v>
      </c>
      <c r="H84">
        <v>12.8</v>
      </c>
      <c r="I84">
        <v>5.4</v>
      </c>
      <c r="J84">
        <v>-0.16</v>
      </c>
      <c r="K84">
        <v>-1.6</v>
      </c>
      <c r="L84" t="str" cm="1">
        <f t="array" ref="L84">_xlfn.IFS(
B84="أرض صناعية", "أصول صناعية",
B84="مصنع إنتاج", "أصول صناعية",
B84="مستودع صناعي", "أصول صناعية",
B84="أرض تجارية", "أصول تجارية",
B84="معرض تجاري", "أصول تجارية",
B84="عمائر تجارية", "أصول تجارية",
B84="مكتب تجاري", "أصول تجارية",
TRUE, B84
)</f>
        <v>شقة سكنية</v>
      </c>
    </row>
    <row r="85" spans="1:12" x14ac:dyDescent="0.2">
      <c r="A85" t="s">
        <v>73</v>
      </c>
      <c r="B85" t="s">
        <v>14</v>
      </c>
      <c r="C85">
        <v>29</v>
      </c>
      <c r="D85">
        <v>2900</v>
      </c>
      <c r="E85">
        <v>3000</v>
      </c>
      <c r="F85">
        <v>3200</v>
      </c>
      <c r="G85">
        <v>2300</v>
      </c>
      <c r="H85">
        <v>12.3</v>
      </c>
      <c r="I85">
        <v>5.6</v>
      </c>
      <c r="J85">
        <v>-0.17</v>
      </c>
      <c r="K85">
        <v>-1.65</v>
      </c>
      <c r="L85" t="str" cm="1">
        <f t="array" ref="L85">_xlfn.IFS(
B85="أرض صناعية", "أصول صناعية",
B85="مصنع إنتاج", "أصول صناعية",
B85="مستودع صناعي", "أصول صناعية",
B85="أرض تجارية", "أصول تجارية",
B85="معرض تجاري", "أصول تجارية",
B85="عمائر تجارية", "أصول تجارية",
B85="مكتب تجاري", "أصول تجارية",
TRUE, B85
)</f>
        <v>شقة سكنية</v>
      </c>
    </row>
    <row r="86" spans="1:12" x14ac:dyDescent="0.2">
      <c r="A86" t="s">
        <v>39</v>
      </c>
      <c r="B86" t="s">
        <v>14</v>
      </c>
      <c r="C86">
        <v>30</v>
      </c>
      <c r="D86">
        <v>3000</v>
      </c>
      <c r="E86">
        <v>3000</v>
      </c>
      <c r="F86">
        <v>3000</v>
      </c>
      <c r="G86">
        <v>2200</v>
      </c>
      <c r="H86">
        <v>12.5</v>
      </c>
      <c r="I86">
        <v>5.8</v>
      </c>
      <c r="J86">
        <v>-0.18</v>
      </c>
      <c r="K86">
        <v>-1.7</v>
      </c>
      <c r="L86" t="str" cm="1">
        <f t="array" ref="L86">_xlfn.IFS(
B86="أرض صناعية", "أصول صناعية",
B86="مصنع إنتاج", "أصول صناعية",
B86="مستودع صناعي", "أصول صناعية",
B86="أرض تجارية", "أصول تجارية",
B86="معرض تجاري", "أصول تجارية",
B86="عمائر تجارية", "أصول تجارية",
B86="مكتب تجاري", "أصول تجارية",
TRUE, B86
)</f>
        <v>شقة سكنية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46E4D8-F2A1-445E-B532-1E2EBB71F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علي سعد العوفي</dc:creator>
  <cp:lastModifiedBy>زينب علي سعد العوفي</cp:lastModifiedBy>
  <dcterms:created xsi:type="dcterms:W3CDTF">2025-11-18T01:43:09Z</dcterms:created>
  <dcterms:modified xsi:type="dcterms:W3CDTF">2025-12-20T10:28:07Z</dcterms:modified>
</cp:coreProperties>
</file>